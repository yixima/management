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44800" windowHeight="24700" tabRatio="600" firstSheet="0" activeTab="1" autoFilterDateGrouping="1"/>
  </bookViews>
  <sheets>
    <sheet name="使い方" sheetId="1" state="visible" r:id="rId1"/>
    <sheet name="資金繰り表（月次）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\-#,##0;&quot;-&quot;"/>
    <numFmt numFmtId="165" formatCode="yyyy-mm-dd"/>
  </numFmts>
  <fonts count="10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sz val="14"/>
    </font>
    <font>
      <name val="游ゴシック"/>
      <charset val="128"/>
      <family val="3"/>
      <b val="1"/>
      <sz val="10"/>
    </font>
    <font>
      <name val="游ゴシック"/>
      <charset val="128"/>
      <family val="3"/>
      <color rgb="FF0000FF"/>
      <sz val="10"/>
    </font>
    <font>
      <name val="游ゴシック"/>
      <charset val="128"/>
      <family val="3"/>
      <sz val="9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sz val="10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color rgb="FF000000"/>
      <sz val="10"/>
    </font>
    <font/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7" borderId="1" pivotButton="0" quotePrefix="0" xfId="0"/>
    <xf numFmtId="0" fontId="2" fillId="0" borderId="1" pivotButton="0" quotePrefix="0" xfId="0"/>
    <xf numFmtId="55" fontId="3" fillId="2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55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6" fillId="4" borderId="1" pivotButton="0" quotePrefix="0" xfId="0"/>
    <xf numFmtId="164" fontId="6" fillId="0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2" fillId="6" borderId="1" pivotButton="0" quotePrefix="0" xfId="0"/>
    <xf numFmtId="164" fontId="2" fillId="6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4" borderId="1" pivotButton="0" quotePrefix="0" xfId="0"/>
    <xf numFmtId="164" fontId="0" fillId="0" borderId="0" pivotButton="0" quotePrefix="0" xfId="0"/>
    <xf numFmtId="164" fontId="8" fillId="2" borderId="1" pivotButton="0" quotePrefix="0" xfId="0"/>
    <xf numFmtId="164" fontId="8" fillId="0" borderId="1" pivotButton="0" quotePrefix="0" xfId="0"/>
    <xf numFmtId="0" fontId="0" fillId="8" borderId="0" pivotButton="0" quotePrefix="0" xfId="0"/>
    <xf numFmtId="164" fontId="3" fillId="9" borderId="1" pivotButton="0" quotePrefix="0" xfId="0"/>
    <xf numFmtId="0" fontId="9" fillId="0" borderId="2" pivotButton="0" quotePrefix="0" xfId="0"/>
    <xf numFmtId="165" fontId="3" fillId="2" borderId="1" pivotButton="0" quotePrefix="0" xfId="0"/>
    <xf numFmtId="164" fontId="0" fillId="0" borderId="0" pivotButton="0" quotePrefix="0" xfId="0"/>
    <xf numFmtId="164" fontId="3" fillId="2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2" fillId="5" borderId="1" pivotButton="0" quotePrefix="0" xfId="0"/>
    <xf numFmtId="164" fontId="3" fillId="9" borderId="1" pivotButton="0" quotePrefix="0" xfId="0"/>
    <xf numFmtId="164" fontId="2" fillId="6" borderId="1" pivotButton="0" quotePrefix="0" xfId="0"/>
    <xf numFmtId="164" fontId="8" fillId="2" borderId="1" pivotButton="0" quotePrefix="0" xfId="0"/>
    <xf numFmtId="164" fontId="8" fillId="0" borderId="1" pivotButton="0" quotePrefix="0" xfId="0"/>
  </cellXfs>
  <cellStyles count="1">
    <cellStyle name="標準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name val="游ゴシック"/>
        <b val="1"/>
        <color rgb="FFC00000"/>
      </font>
    </dxf>
    <dxf>
      <font>
        <name val="游ゴシック"/>
        <b val="1"/>
        <color rgb="FFC00000"/>
      </font>
    </dxf>
    <dxf>
      <fill>
        <patternFill patternType="solid">
          <fgColor rgb="FF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  <author>Claude</author>
  </authors>
  <commentList>
    <comment ref="B4" authorId="0" shapeId="0">
      <text>
        <t>運転資金の目安（例：月商の1〜2か月分）を入力。</t>
      </text>
    </comment>
    <comment ref="B9" authorId="1" shapeId="0">
      <text>
        <t>2025年7〜9月：Drive「業績連動賞与/2025年分/7月・8月・9月」の集計ファイル（業績連動賞与_実績7〜9）が空（0バイト）で読み取れず未入力。</t>
      </text>
    </comment>
    <comment ref="E9" authorId="1" shapeId="0">
      <text>
        <t>出典：Google Drive「業績連動賞与/2025年分/10月」【営業回覧用】業績連動賞与_実績10 の合計行「入金実績」</t>
      </text>
    </comment>
    <comment ref="F9" authorId="1" shapeId="0">
      <text>
        <t>出典：Google Drive「業績連動賞与/2025年分/11月」【営業回覧用】業績連動賞与_実績11 の合計行「入金実績」</t>
      </text>
    </comment>
    <comment ref="G9" authorId="1" shapeId="0">
      <text>
        <t>出典：Google Drive「業績連動賞与/2025年分/12月」【営業回覧用】業績連動賞与_実績12 の合計行「入金実績」</t>
      </text>
    </comment>
    <comment ref="H9" authorId="1" shapeId="0">
      <text>
        <t>出典：Google Drive「業績連動賞与/2026年分/1月」【営業回覧用】業績連動賞与_実績1 の合計行「入金実績」</t>
      </text>
    </comment>
    <comment ref="I9" authorId="1" shapeId="0">
      <text>
        <t>出典：Google Drive「業績連動賞与/2026年分/2月」【営業回覧用】業績連動賞与_実績2 の合計行「入金実績」</t>
      </text>
    </comment>
    <comment ref="J9" authorId="1" shapeId="0">
      <text>
        <t>出典：Google Drive「業績連動賞与/2026年分/3月」【営業回覧用】業績連動賞与_実績3 の合計行「入金実績」</t>
      </text>
    </comment>
    <comment ref="K9" authorId="1" shapeId="0">
      <text>
        <t>出典：Google Drive「業績連動賞与/2026年分/4月」【営業回覧用】業績連動賞与_実績4 の合計行「入金実績」</t>
      </text>
    </comment>
    <comment ref="L9" authorId="1" shapeId="0">
      <text>
        <t>出典：Google Drive「業績連動賞与/2026年分/5月」【営業回覧用】業績連動賞与_実績5 の合計行「入金実績」</t>
      </text>
    </comment>
    <comment ref="M9" authorId="1" shapeId="0">
      <text>
        <t>出典：Google Drive「業績連動賞与/2026年分/6月」【営業回覧用】業績連動賞与_実績6 の合計行「入金実績」</t>
      </text>
    </comment>
    <comment ref="N9" authorId="1" shapeId="0">
      <text>
        <t>出典：Google Drive「業績連動賞与/2026年分/7月」【営業回覧用】業績連動賞与_実績7 の合計行「入金実績」</t>
      </text>
    </comment>
    <comment ref="O9" authorId="1" shapeId="0">
      <text>
        <t>出典：Google Drive「業績連動賞与/2026年分/8月」【営業回覧用】業績連動賞与_実績8 の合計行「入金実績」</t>
      </text>
    </comment>
    <comment ref="B47" authorId="1" shapeId="0">
      <text>
        <t>暫定値：これまで2025年10月初めの残高として入っていた3,500,000円を仮に入れています（7〜9月の収支が空欄のため、10月以降の結果は従来と同じ）。7〜9月を入力する際は、2025年7月初めの残高に置き換えてください。</t>
      </text>
    </comment>
    <comment ref="B53" authorId="1" shapeId="0">
      <text>
        <t>表の初月より前から滞納がある場合、その残高を入力（なければ空欄）。2か月目以降は前月の滞納残高が自動で入ります。</t>
      </text>
    </comment>
    <comment ref="B54" authorId="1" shapeId="0">
      <text>
        <t>初月の本来の納付額。以降は前月と同額が自動で入ります。保険料率・住民税額が変わる月だけ、そのセルに金額を上書きしてください。</t>
      </text>
    </comment>
    <comment ref="B58" authorId="1" shapeId="0">
      <text>
        <t>表の初月より前から滞納がある場合、その残高を入力（なければ空欄）。2か月目以降は前月の滞納残高が自動で入ります。</t>
      </text>
    </comment>
    <comment ref="B66" authorId="1" shapeId="0">
      <text>
        <t>2025年10月初めの借入金残高（全金融機関の合計）を入力。2か月目以降は自動。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10" defaultColWidth="8.83203125" defaultRowHeight="14"/>
  <cols>
    <col width="3" customWidth="1" min="1" max="1"/>
    <col width="100" customWidth="1" min="2" max="2"/>
  </cols>
  <sheetData>
    <row r="2" ht="24" customHeight="1">
      <c r="B2" s="1" t="inlineStr">
        <is>
          <t>パターンA：月次資金繰り表（25か月）</t>
        </is>
      </c>
    </row>
    <row r="4" ht="17" customHeight="1">
      <c r="B4" s="2" t="inlineStr">
        <is>
          <t>■ 用途：最も一般的な形式。25か月間の資金の出入りを月単位で見通し、資金不足の月を事前に把握します。</t>
        </is>
      </c>
    </row>
    <row r="5" ht="17" customHeight="1">
      <c r="B5" s="2" t="inlineStr">
        <is>
          <t>■ 構成：「経常収支」「経常外収支」「財務収支」の三区分（中小企業・金融機関で標準的な形）。</t>
        </is>
      </c>
    </row>
    <row r="6" ht="17" customHeight="1">
      <c r="B6" s="2" t="inlineStr">
        <is>
          <t>■ 手順</t>
        </is>
      </c>
    </row>
    <row r="7" ht="17" customHeight="1">
      <c r="B7" s="3" t="inlineStr">
        <is>
          <t xml:space="preserve">  1. 「資金繰り表（月次）」シートの B3 に開始年月、B4 に最低必要残高を入力</t>
        </is>
      </c>
    </row>
    <row r="8" ht="17" customHeight="1">
      <c r="B8" s="3" t="inlineStr">
        <is>
          <t xml:space="preserve">  2. 下部の「前月繰越」行の B47（初月）に期首の現預金残高を入力</t>
        </is>
      </c>
    </row>
    <row r="9" ht="17" customHeight="1">
      <c r="B9" s="3" t="inlineStr">
        <is>
          <t xml:space="preserve">  3. 各月の黄色セルに、収入・支出の予定額を入力（2か月目以降の繰越は自動計算）</t>
        </is>
      </c>
    </row>
    <row r="10" ht="17" customHeight="1">
      <c r="B10" s="3" t="inlineStr">
        <is>
          <t xml:space="preserve">  5. 社会保険料は「法定福利費」、住民税は「住民税その他税」の行に実際に払った額を入力 → 下段の滞納管理に自動反映（本来の納付額は前月と同額を自動）</t>
        </is>
      </c>
    </row>
    <row r="11" ht="17" customHeight="1">
      <c r="B11" s="3" t="inlineStr">
        <is>
          <t xml:space="preserve">  ※営業収入＝業績連動賞与の集計ファイルの「入金実績」合計（2025年10月〜2026年8月は入力済み）</t>
        </is>
      </c>
    </row>
    <row r="12" ht="17" customHeight="1">
      <c r="B12" s="3" t="inlineStr">
        <is>
          <t xml:space="preserve">  4. 翌月繰越がマイナス／最低必要残高未満の月は赤表示 → 借入・支払条件の見直し等を検討</t>
        </is>
      </c>
    </row>
    <row r="13" ht="17" customHeight="1">
      <c r="B13" s="2" t="inlineStr">
        <is>
          <t>■ 未払金支払：経費の後払い分（カード払い・月末締め翌月払いの外注費・リース料など）の支払額を、実際に口座から出る月に入力します。</t>
        </is>
      </c>
    </row>
    <row r="14" ht="17" customHeight="1">
      <c r="B14" s="2" t="inlineStr">
        <is>
          <t>■ 科目名は自社に合わせて書き換えて構いません（A列）。行を挿入した場合は「計」の範囲を確認してください。</t>
        </is>
      </c>
    </row>
    <row r="16" ht="17" customHeight="1">
      <c r="B16" s="4" t="inlineStr">
        <is>
          <t>入力セル（黄色・青字）</t>
        </is>
      </c>
    </row>
    <row r="17" ht="17" customHeight="1">
      <c r="B17" s="5" t="inlineStr">
        <is>
          <t>計算式セル（白・黒字）＝触らない</t>
        </is>
      </c>
    </row>
    <row r="18" ht="17" customHeight="1">
      <c r="B18" s="6" t="inlineStr">
        <is>
          <t>残高が「最低必要残高」を下回ると赤く表示されます</t>
        </is>
      </c>
    </row>
    <row r="20" ht="17" customHeight="1">
      <c r="B20" s="2" t="inlineStr">
        <is>
          <t>■ 借入金残高：下部「借入金残高管理」の B64 に期首の借入金残高を入力。以降は上段の借入金・借入金返済から自動計算されます。</t>
        </is>
      </c>
    </row>
    <row r="21">
      <c r="B21" s="2" t="inlineStr">
        <is>
          <t>■ 滞納管理：各科目の「前月からの繰越」は前月の滞納残高が自動で入ります（初月のみ、表の開始前からの滞納残高を入力）。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9"/>
  <sheetViews>
    <sheetView tabSelected="1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J33" sqref="J33"/>
    </sheetView>
  </sheetViews>
  <sheetFormatPr baseColWidth="10" defaultColWidth="8.83203125" defaultRowHeight="14"/>
  <cols>
    <col width="34" customWidth="1" min="1" max="1"/>
    <col width="13" customWidth="1" min="2" max="27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4" customHeight="1">
      <c r="A1" s="1" t="inlineStr">
        <is>
          <t>資金繰り表（月次・28か月）</t>
        </is>
      </c>
      <c r="AB1" s="29" t="n"/>
      <c r="AC1" s="29" t="n"/>
      <c r="AD1" s="29" t="n"/>
    </row>
    <row r="2" ht="17" customHeight="1">
      <c r="A2" s="7" t="inlineStr">
        <is>
          <t>会社名</t>
        </is>
      </c>
      <c r="B2" s="4" t="n"/>
      <c r="N2" s="27" t="n"/>
      <c r="AB2" s="29" t="n"/>
      <c r="AC2" s="29" t="n"/>
      <c r="AD2" s="29" t="n"/>
    </row>
    <row r="3" ht="17" customHeight="1">
      <c r="A3" s="7" t="inlineStr">
        <is>
          <t>開始年月</t>
        </is>
      </c>
      <c r="B3" s="30" t="n">
        <v>45839</v>
      </c>
      <c r="D3" s="31">
        <f>SUM(E9:P9)</f>
        <v/>
      </c>
      <c r="E3">
        <f>D3/12</f>
        <v/>
      </c>
      <c r="N3" s="27" t="n"/>
      <c r="AB3" s="29" t="n"/>
      <c r="AC3" s="29" t="n"/>
      <c r="AD3" s="29" t="n"/>
    </row>
    <row r="4" ht="17" customHeight="1">
      <c r="A4" s="7" t="inlineStr">
        <is>
          <t>最低必要残高（円）</t>
        </is>
      </c>
      <c r="B4" s="32" t="n"/>
      <c r="N4" s="27" t="n"/>
      <c r="AB4" s="29" t="n"/>
      <c r="AC4" s="29" t="n"/>
      <c r="AD4" s="29" t="n"/>
    </row>
    <row r="5" ht="16" customHeight="1">
      <c r="A5" s="10" t="inlineStr">
        <is>
          <t>単位：円</t>
        </is>
      </c>
      <c r="AB5" s="29" t="n"/>
      <c r="AC5" s="29" t="n"/>
      <c r="AD5" s="29" t="n"/>
    </row>
    <row r="7" ht="18" customHeight="1">
      <c r="A7" s="11" t="inlineStr">
        <is>
          <t>科目</t>
        </is>
      </c>
      <c r="B7" s="11">
        <f>EDATE($B$3,0)</f>
        <v/>
      </c>
      <c r="C7" s="11">
        <f>EDATE($B$3,1)</f>
        <v/>
      </c>
      <c r="D7" s="11">
        <f>EDATE($B$3,2)</f>
        <v/>
      </c>
      <c r="E7" s="12">
        <f>EDATE($B$3,3)</f>
        <v/>
      </c>
      <c r="F7" s="12">
        <f>EDATE($B$3,4)</f>
        <v/>
      </c>
      <c r="G7" s="12">
        <f>EDATE($B$3,5)</f>
        <v/>
      </c>
      <c r="H7" s="12">
        <f>EDATE($B$3,6)</f>
        <v/>
      </c>
      <c r="I7" s="12">
        <f>EDATE($B$3,7)</f>
        <v/>
      </c>
      <c r="J7" s="12">
        <f>EDATE($B$3,8)</f>
        <v/>
      </c>
      <c r="K7" s="12">
        <f>EDATE($B$3,9)</f>
        <v/>
      </c>
      <c r="L7" s="12">
        <f>EDATE($B$3,10)</f>
        <v/>
      </c>
      <c r="M7" s="12">
        <f>EDATE($B$3,11)</f>
        <v/>
      </c>
      <c r="N7" s="12">
        <f>EDATE($B$3,12)</f>
        <v/>
      </c>
      <c r="O7" s="12">
        <f>EDATE($B$3,13)</f>
        <v/>
      </c>
      <c r="P7" s="12">
        <f>EDATE($B$3,14)</f>
        <v/>
      </c>
      <c r="Q7" s="12">
        <f>EDATE($B$3,15)</f>
        <v/>
      </c>
      <c r="R7" s="12">
        <f>EDATE($B$3,16)</f>
        <v/>
      </c>
      <c r="S7" s="12">
        <f>EDATE($B$3,17)</f>
        <v/>
      </c>
      <c r="T7" s="12">
        <f>EDATE($B$3,18)</f>
        <v/>
      </c>
      <c r="U7" s="12">
        <f>EDATE($B$3,19)</f>
        <v/>
      </c>
      <c r="V7" s="12">
        <f>EDATE($B$3,20)</f>
        <v/>
      </c>
      <c r="W7" s="12">
        <f>EDATE($B$3,21)</f>
        <v/>
      </c>
      <c r="X7" s="12">
        <f>EDATE($B$3,22)</f>
        <v/>
      </c>
      <c r="Y7" s="12">
        <f>EDATE($B$3,23)</f>
        <v/>
      </c>
      <c r="Z7" s="12">
        <f>EDATE($B$3,24)</f>
        <v/>
      </c>
      <c r="AA7" s="12">
        <f>EDATE($B$3,25)</f>
        <v/>
      </c>
      <c r="AB7" s="12">
        <f>EDATE($B$3,26)</f>
        <v/>
      </c>
      <c r="AC7" s="12">
        <f>EDATE($B$3,27)</f>
        <v/>
      </c>
      <c r="AD7" s="11" t="inlineStr">
        <is>
          <t>合計</t>
        </is>
      </c>
    </row>
    <row r="8" ht="17" customHeight="1">
      <c r="A8" s="13" t="inlineStr">
        <is>
          <t>経常収支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</row>
    <row r="9" ht="17" customHeight="1">
      <c r="A9" s="5" t="inlineStr">
        <is>
          <t xml:space="preserve">  収入｜営業収入</t>
        </is>
      </c>
      <c r="B9" s="32" t="n"/>
      <c r="C9" s="32" t="n"/>
      <c r="D9" s="32" t="n"/>
      <c r="E9" s="32" t="n">
        <v>11571200</v>
      </c>
      <c r="F9" s="32" t="n">
        <v>12729500</v>
      </c>
      <c r="G9" s="32" t="n">
        <v>10817650</v>
      </c>
      <c r="H9" s="32" t="n">
        <v>7592596</v>
      </c>
      <c r="I9" s="32" t="n">
        <v>12008250</v>
      </c>
      <c r="J9" s="32" t="n">
        <v>14734304</v>
      </c>
      <c r="K9" s="32" t="n">
        <v>14492300</v>
      </c>
      <c r="L9" s="32" t="n">
        <v>9738050</v>
      </c>
      <c r="M9" s="32" t="n">
        <v>12227100</v>
      </c>
      <c r="N9" s="32" t="n">
        <v>7979350</v>
      </c>
      <c r="O9" s="32" t="n">
        <v>13590955</v>
      </c>
      <c r="P9" s="32" t="n">
        <v>9548770</v>
      </c>
      <c r="Q9" s="32" t="n">
        <v>11000000</v>
      </c>
      <c r="R9" s="32" t="n">
        <v>11000000</v>
      </c>
      <c r="S9" s="32" t="n">
        <v>11000000</v>
      </c>
      <c r="T9" s="32" t="n">
        <v>11000000</v>
      </c>
      <c r="U9" s="32" t="n">
        <v>11000000</v>
      </c>
      <c r="V9" s="32" t="n">
        <v>11000000</v>
      </c>
      <c r="W9" s="32" t="n">
        <v>11000000</v>
      </c>
      <c r="X9" s="32" t="n">
        <v>11000000</v>
      </c>
      <c r="Y9" s="32" t="n">
        <v>11000000</v>
      </c>
      <c r="Z9" s="32" t="n">
        <v>11000000</v>
      </c>
      <c r="AA9" s="32" t="n">
        <v>11000000</v>
      </c>
      <c r="AB9" s="32" t="n">
        <v>11000000</v>
      </c>
      <c r="AC9" s="32" t="n">
        <v>11000000</v>
      </c>
      <c r="AD9" s="34">
        <f>SUM(B9:AC9)</f>
        <v/>
      </c>
    </row>
    <row r="10" ht="17" customHeight="1">
      <c r="A10" s="5" t="inlineStr">
        <is>
          <t xml:space="preserve">  収入｜案件収入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>
        <v>14000000</v>
      </c>
      <c r="R10" s="32" t="n">
        <v>14000000</v>
      </c>
      <c r="S10" s="32" t="n"/>
      <c r="T10" s="32" t="n">
        <v>4000000</v>
      </c>
      <c r="U10" s="32" t="n"/>
      <c r="V10" s="32" t="n">
        <v>6000000</v>
      </c>
      <c r="W10" s="32" t="n"/>
      <c r="X10" s="32" t="n"/>
      <c r="Y10" s="32" t="n"/>
      <c r="Z10" s="32" t="n"/>
      <c r="AA10" s="32" t="n"/>
      <c r="AB10" s="32" t="n"/>
      <c r="AC10" s="32" t="n"/>
      <c r="AD10" s="34">
        <f>SUM(B10:AC10)</f>
        <v/>
      </c>
    </row>
    <row r="11" ht="17" customHeight="1">
      <c r="A11" s="5" t="inlineStr">
        <is>
          <t xml:space="preserve">  収入｜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4">
        <f>SUM(B11:AC11)</f>
        <v/>
      </c>
    </row>
    <row r="12" ht="17" customHeight="1">
      <c r="A12" s="5" t="inlineStr">
        <is>
          <t xml:space="preserve">  収入｜その他収入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4">
        <f>SUM(B12:AC12)</f>
        <v/>
      </c>
    </row>
    <row r="13" ht="17" customHeight="1">
      <c r="A13" s="16" t="inlineStr">
        <is>
          <t xml:space="preserve">  収入 計</t>
        </is>
      </c>
      <c r="B13" s="35">
        <f>SUM(B9:B12)</f>
        <v/>
      </c>
      <c r="C13" s="35">
        <f>SUM(C9:C12)</f>
        <v/>
      </c>
      <c r="D13" s="35">
        <f>SUM(D9:D12)</f>
        <v/>
      </c>
      <c r="E13" s="35">
        <f>SUM(E9:E12)</f>
        <v/>
      </c>
      <c r="F13" s="35">
        <f>SUM(F9:F12)</f>
        <v/>
      </c>
      <c r="G13" s="35">
        <f>SUM(G9:G12)</f>
        <v/>
      </c>
      <c r="H13" s="35">
        <f>SUM(H9:H12)</f>
        <v/>
      </c>
      <c r="I13" s="35">
        <f>SUM(I9:I12)</f>
        <v/>
      </c>
      <c r="J13" s="35">
        <f>SUM(J9:J12)</f>
        <v/>
      </c>
      <c r="K13" s="35">
        <f>SUM(K9:K12)</f>
        <v/>
      </c>
      <c r="L13" s="35">
        <f>SUM(L9:L12)</f>
        <v/>
      </c>
      <c r="M13" s="35">
        <f>SUM(M9:M12)</f>
        <v/>
      </c>
      <c r="N13" s="35">
        <f>SUM(N9:N12)</f>
        <v/>
      </c>
      <c r="O13" s="35">
        <f>SUM(O9:O12)</f>
        <v/>
      </c>
      <c r="P13" s="35">
        <f>SUM(P9:P12)</f>
        <v/>
      </c>
      <c r="Q13" s="35">
        <f>SUM(Q9:Q12)</f>
        <v/>
      </c>
      <c r="R13" s="35">
        <f>SUM(R9:R12)</f>
        <v/>
      </c>
      <c r="S13" s="35">
        <f>SUM(S9:S12)</f>
        <v/>
      </c>
      <c r="T13" s="35">
        <f>SUM(T9:T12)</f>
        <v/>
      </c>
      <c r="U13" s="35">
        <f>SUM(U9:U12)</f>
        <v/>
      </c>
      <c r="V13" s="35">
        <f>SUM(V9:V12)</f>
        <v/>
      </c>
      <c r="W13" s="35">
        <f>SUM(W9:W12)</f>
        <v/>
      </c>
      <c r="X13" s="35">
        <f>SUM(X9:X12)</f>
        <v/>
      </c>
      <c r="Y13" s="35">
        <f>SUM(Y9:Y12)</f>
        <v/>
      </c>
      <c r="Z13" s="35">
        <f>SUM(Z9:Z12)</f>
        <v/>
      </c>
      <c r="AA13" s="35">
        <f>SUM(AA9:AA12)</f>
        <v/>
      </c>
      <c r="AB13" s="35">
        <f>SUM(AB9:AB12)</f>
        <v/>
      </c>
      <c r="AC13" s="35">
        <f>SUM(AC9:AC12)</f>
        <v/>
      </c>
      <c r="AD13" s="35">
        <f>SUM(AD9:AD12)</f>
        <v/>
      </c>
    </row>
    <row r="14" ht="17" customHeight="1">
      <c r="A14" s="5" t="inlineStr">
        <is>
          <t xml:space="preserve">  支出｜外注費支払</t>
        </is>
      </c>
      <c r="B14" s="32" t="n"/>
      <c r="C14" s="32" t="n"/>
      <c r="D14" s="32" t="n"/>
      <c r="E14" s="32" t="n">
        <v>4400000</v>
      </c>
      <c r="F14" s="32" t="n">
        <v>4400000</v>
      </c>
      <c r="G14" s="32" t="n">
        <v>4400000</v>
      </c>
      <c r="H14" s="32" t="n">
        <v>4400000</v>
      </c>
      <c r="I14" s="32" t="n">
        <v>4400000</v>
      </c>
      <c r="J14" s="32" t="n">
        <v>4400000</v>
      </c>
      <c r="K14" s="32" t="n">
        <v>4400000</v>
      </c>
      <c r="L14" s="32" t="n">
        <v>4400000</v>
      </c>
      <c r="M14" s="32" t="n">
        <v>4400000</v>
      </c>
      <c r="N14" s="32" t="n">
        <v>4400000</v>
      </c>
      <c r="O14" s="32" t="n">
        <v>4400000</v>
      </c>
      <c r="P14" s="32" t="n">
        <v>4400000</v>
      </c>
      <c r="Q14" s="32" t="n">
        <v>4400000</v>
      </c>
      <c r="R14" s="32" t="n">
        <v>4400000</v>
      </c>
      <c r="S14" s="32" t="n">
        <v>4400000</v>
      </c>
      <c r="T14" s="32" t="n">
        <v>4400000</v>
      </c>
      <c r="U14" s="32" t="n">
        <v>4400000</v>
      </c>
      <c r="V14" s="32" t="n">
        <v>4400000</v>
      </c>
      <c r="W14" s="32" t="n">
        <v>4400000</v>
      </c>
      <c r="X14" s="32" t="n">
        <v>4400000</v>
      </c>
      <c r="Y14" s="32" t="n">
        <v>4400000</v>
      </c>
      <c r="Z14" s="32" t="n">
        <v>4400000</v>
      </c>
      <c r="AA14" s="32" t="n">
        <v>4400000</v>
      </c>
      <c r="AB14" s="32" t="n">
        <v>4400000</v>
      </c>
      <c r="AC14" s="32" t="n">
        <v>4400000</v>
      </c>
      <c r="AD14" s="34">
        <f>SUM(B14:AC14)</f>
        <v/>
      </c>
    </row>
    <row r="15" ht="17" customHeight="1">
      <c r="A15" s="5" t="inlineStr">
        <is>
          <t xml:space="preserve">  支出｜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4">
        <f>SUM(B15:AC15)</f>
        <v/>
      </c>
    </row>
    <row r="16" ht="17" customHeight="1">
      <c r="A16" s="5" t="inlineStr">
        <is>
          <t xml:space="preserve">  支出｜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4">
        <f>SUM(B16:AC16)</f>
        <v/>
      </c>
    </row>
    <row r="17" ht="17" customHeight="1">
      <c r="A17" s="5" t="inlineStr">
        <is>
          <t xml:space="preserve">  支出｜</t>
        </is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4">
        <f>SUM(B17:AC17)</f>
        <v/>
      </c>
    </row>
    <row r="18" ht="17" customHeight="1">
      <c r="A18" s="5" t="inlineStr">
        <is>
          <t xml:space="preserve">  支出｜人件費（給与・賞与）</t>
        </is>
      </c>
      <c r="B18" s="32" t="n"/>
      <c r="C18" s="32" t="n"/>
      <c r="D18" s="32" t="n"/>
      <c r="E18" s="32" t="n">
        <v>4700000</v>
      </c>
      <c r="F18" s="32" t="n">
        <v>4700000</v>
      </c>
      <c r="G18" s="32" t="n">
        <v>4700000</v>
      </c>
      <c r="H18" s="32" t="n">
        <v>4700000</v>
      </c>
      <c r="I18" s="32" t="n">
        <v>4700000</v>
      </c>
      <c r="J18" s="32" t="n">
        <v>4700000</v>
      </c>
      <c r="K18" s="32" t="n">
        <v>5200000</v>
      </c>
      <c r="L18" s="32" t="n">
        <v>5200000</v>
      </c>
      <c r="M18" s="32" t="n">
        <v>5200000</v>
      </c>
      <c r="N18" s="32" t="n">
        <v>5200000</v>
      </c>
      <c r="O18" s="32" t="n">
        <v>5200000</v>
      </c>
      <c r="P18" s="32" t="n">
        <v>5200000</v>
      </c>
      <c r="Q18" s="32" t="n">
        <v>5200000</v>
      </c>
      <c r="R18" s="32" t="n">
        <v>5200000</v>
      </c>
      <c r="S18" s="32" t="n">
        <v>5200000</v>
      </c>
      <c r="T18" s="32" t="n">
        <v>5200000</v>
      </c>
      <c r="U18" s="32" t="n">
        <v>5200000</v>
      </c>
      <c r="V18" s="32" t="n">
        <v>5200000</v>
      </c>
      <c r="W18" s="32" t="n">
        <v>5200000</v>
      </c>
      <c r="X18" s="32" t="n">
        <v>5200000</v>
      </c>
      <c r="Y18" s="32" t="n">
        <v>5200000</v>
      </c>
      <c r="Z18" s="32" t="n">
        <v>5200000</v>
      </c>
      <c r="AA18" s="32" t="n">
        <v>5200000</v>
      </c>
      <c r="AB18" s="32" t="n">
        <v>5200000</v>
      </c>
      <c r="AC18" s="32" t="n">
        <v>5200000</v>
      </c>
      <c r="AD18" s="34">
        <f>SUM(B18:AC18)</f>
        <v/>
      </c>
    </row>
    <row r="19" ht="17" customHeight="1">
      <c r="A19" s="5" t="inlineStr">
        <is>
          <t xml:space="preserve">  支出｜社会保険その他保険</t>
        </is>
      </c>
      <c r="B19" s="32" t="n"/>
      <c r="C19" s="32" t="n"/>
      <c r="D19" s="32" t="n"/>
      <c r="E19" s="32" t="n">
        <v>1600000</v>
      </c>
      <c r="F19" s="32" t="n">
        <v>1600000</v>
      </c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2" t="n">
        <v>18860000</v>
      </c>
      <c r="R19" s="32" t="n">
        <v>1810000</v>
      </c>
      <c r="S19" s="32" t="n">
        <v>1810000</v>
      </c>
      <c r="T19" s="32" t="n">
        <v>1810000</v>
      </c>
      <c r="U19" s="32" t="n">
        <v>1810000</v>
      </c>
      <c r="V19" s="32" t="n">
        <v>1810000</v>
      </c>
      <c r="W19" s="32" t="n">
        <v>1810000</v>
      </c>
      <c r="X19" s="32" t="n">
        <v>1810000</v>
      </c>
      <c r="Y19" s="32" t="n">
        <v>1810000</v>
      </c>
      <c r="Z19" s="32" t="n">
        <v>1810000</v>
      </c>
      <c r="AA19" s="32" t="n">
        <v>1810000</v>
      </c>
      <c r="AB19" s="32" t="n">
        <v>1810000</v>
      </c>
      <c r="AC19" s="32" t="n">
        <v>1810000</v>
      </c>
      <c r="AD19" s="34">
        <f>SUM(B19:AC19)</f>
        <v/>
      </c>
    </row>
    <row r="20" ht="17" customHeight="1">
      <c r="A20" s="5" t="inlineStr">
        <is>
          <t xml:space="preserve">  支出｜住民税その他税</t>
        </is>
      </c>
      <c r="B20" s="32" t="n"/>
      <c r="C20" s="32" t="n"/>
      <c r="D20" s="32" t="n"/>
      <c r="E20" s="32" t="n">
        <v>510000</v>
      </c>
      <c r="F20" s="32" t="n">
        <v>510000</v>
      </c>
      <c r="G20" s="32" t="n">
        <v>510000</v>
      </c>
      <c r="H20" s="32" t="n">
        <v>510000</v>
      </c>
      <c r="I20" s="32" t="n">
        <v>510000</v>
      </c>
      <c r="J20" s="32" t="n">
        <v>510000</v>
      </c>
      <c r="K20" s="32" t="n">
        <v>510000</v>
      </c>
      <c r="L20" s="32" t="n">
        <v>550000</v>
      </c>
      <c r="M20" s="32" t="n">
        <v>550000</v>
      </c>
      <c r="N20" s="36" t="n"/>
      <c r="O20" s="36" t="n"/>
      <c r="P20" s="36" t="n"/>
      <c r="Q20" s="32" t="n">
        <v>2200000</v>
      </c>
      <c r="R20" s="32" t="n">
        <v>550000</v>
      </c>
      <c r="S20" s="32" t="n">
        <v>550000</v>
      </c>
      <c r="T20" s="32" t="n">
        <v>550000</v>
      </c>
      <c r="U20" s="32" t="n">
        <v>550000</v>
      </c>
      <c r="V20" s="32" t="n">
        <v>550000</v>
      </c>
      <c r="W20" s="32" t="n">
        <v>550000</v>
      </c>
      <c r="X20" s="32" t="n">
        <v>550000</v>
      </c>
      <c r="Y20" s="32" t="n">
        <v>550000</v>
      </c>
      <c r="Z20" s="32" t="n">
        <v>550000</v>
      </c>
      <c r="AA20" s="32" t="n">
        <v>550000</v>
      </c>
      <c r="AB20" s="32" t="n">
        <v>550000</v>
      </c>
      <c r="AC20" s="32" t="n">
        <v>550000</v>
      </c>
      <c r="AD20" s="34">
        <f>SUM(B20:AC20)</f>
        <v/>
      </c>
    </row>
    <row r="21" ht="17" customHeight="1">
      <c r="A21" s="5" t="inlineStr">
        <is>
          <t xml:space="preserve">  支出｜地代家賃・光熱費・通信費</t>
        </is>
      </c>
      <c r="B21" s="32" t="n"/>
      <c r="C21" s="32" t="n"/>
      <c r="D21" s="32" t="n"/>
      <c r="E21" s="32" t="n">
        <v>880000</v>
      </c>
      <c r="F21" s="32" t="n">
        <v>880000</v>
      </c>
      <c r="G21" s="32" t="n">
        <v>880000</v>
      </c>
      <c r="H21" s="32" t="n">
        <v>880000</v>
      </c>
      <c r="I21" s="32" t="n">
        <v>880000</v>
      </c>
      <c r="J21" s="32" t="n">
        <v>880000</v>
      </c>
      <c r="K21" s="32" t="n">
        <v>880000</v>
      </c>
      <c r="L21" s="32" t="n">
        <v>880000</v>
      </c>
      <c r="M21" s="32" t="n">
        <v>880000</v>
      </c>
      <c r="N21" s="32" t="n">
        <v>880000</v>
      </c>
      <c r="O21" s="32" t="n">
        <v>880000</v>
      </c>
      <c r="P21" s="32" t="n">
        <v>880000</v>
      </c>
      <c r="Q21" s="32" t="n">
        <v>880000</v>
      </c>
      <c r="R21" s="32" t="n">
        <v>880000</v>
      </c>
      <c r="S21" s="32" t="n">
        <v>880000</v>
      </c>
      <c r="T21" s="32" t="n">
        <v>880000</v>
      </c>
      <c r="U21" s="32" t="n">
        <v>880000</v>
      </c>
      <c r="V21" s="32" t="n">
        <v>880000</v>
      </c>
      <c r="W21" s="32" t="n">
        <v>880000</v>
      </c>
      <c r="X21" s="32" t="n">
        <v>880000</v>
      </c>
      <c r="Y21" s="32" t="n">
        <v>880000</v>
      </c>
      <c r="Z21" s="32" t="n">
        <v>880000</v>
      </c>
      <c r="AA21" s="32" t="n">
        <v>880000</v>
      </c>
      <c r="AB21" s="32" t="n">
        <v>880000</v>
      </c>
      <c r="AC21" s="32" t="n">
        <v>880000</v>
      </c>
      <c r="AD21" s="34">
        <f>SUM(B21:AC21)</f>
        <v/>
      </c>
    </row>
    <row r="22" ht="17" customHeight="1">
      <c r="A22" s="5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4">
        <f>SUM(B22:AC22)</f>
        <v/>
      </c>
    </row>
    <row r="23" ht="17" customHeight="1">
      <c r="A23" s="5" t="inlineStr">
        <is>
          <t xml:space="preserve">  支出｜その他販売管理費</t>
        </is>
      </c>
      <c r="B23" s="32" t="n"/>
      <c r="C23" s="32" t="n"/>
      <c r="D23" s="32" t="n"/>
      <c r="E23" s="32" t="n">
        <v>1440000</v>
      </c>
      <c r="F23" s="32" t="n">
        <v>1440000</v>
      </c>
      <c r="G23" s="32" t="n">
        <v>1440000</v>
      </c>
      <c r="H23" s="32" t="n">
        <v>1440000</v>
      </c>
      <c r="I23" s="32" t="n">
        <v>1440000</v>
      </c>
      <c r="J23" s="32" t="n">
        <v>1440000</v>
      </c>
      <c r="K23" s="32" t="n">
        <v>1440000</v>
      </c>
      <c r="L23" s="32" t="n">
        <v>1440000</v>
      </c>
      <c r="M23" s="32" t="n">
        <v>1440000</v>
      </c>
      <c r="N23" s="32" t="n">
        <v>1440000</v>
      </c>
      <c r="O23" s="32" t="n">
        <v>1440000</v>
      </c>
      <c r="P23" s="32" t="n">
        <v>1440000</v>
      </c>
      <c r="Q23" s="32" t="n">
        <v>1440000</v>
      </c>
      <c r="R23" s="32" t="n">
        <v>1440000</v>
      </c>
      <c r="S23" s="32" t="n">
        <v>1440000</v>
      </c>
      <c r="T23" s="32" t="n">
        <v>1440000</v>
      </c>
      <c r="U23" s="32" t="n">
        <v>1440000</v>
      </c>
      <c r="V23" s="32" t="n">
        <v>1440000</v>
      </c>
      <c r="W23" s="32" t="n">
        <v>1440000</v>
      </c>
      <c r="X23" s="32" t="n">
        <v>1440000</v>
      </c>
      <c r="Y23" s="32" t="n">
        <v>1440000</v>
      </c>
      <c r="Z23" s="32" t="n">
        <v>1440000</v>
      </c>
      <c r="AA23" s="32" t="n">
        <v>1440000</v>
      </c>
      <c r="AB23" s="32" t="n">
        <v>1440000</v>
      </c>
      <c r="AC23" s="32" t="n">
        <v>1440000</v>
      </c>
      <c r="AD23" s="34">
        <f>SUM(B23:AC23)</f>
        <v/>
      </c>
    </row>
    <row r="24" ht="17" customHeight="1">
      <c r="A24" s="5" t="inlineStr">
        <is>
          <t xml:space="preserve">  支出｜支払利息・割引料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4">
        <f>SUM(B24:AC24)</f>
        <v/>
      </c>
    </row>
    <row r="25" ht="17" customHeight="1">
      <c r="A25" s="16" t="inlineStr">
        <is>
          <t xml:space="preserve">  支出 計</t>
        </is>
      </c>
      <c r="B25" s="35">
        <f>SUM(B14:B24)</f>
        <v/>
      </c>
      <c r="C25" s="35">
        <f>SUM(C14:C24)</f>
        <v/>
      </c>
      <c r="D25" s="35">
        <f>SUM(D14:D24)</f>
        <v/>
      </c>
      <c r="E25" s="35">
        <f>SUM(E14:E24)</f>
        <v/>
      </c>
      <c r="F25" s="35">
        <f>SUM(F14:F24)</f>
        <v/>
      </c>
      <c r="G25" s="35">
        <f>SUM(G14:G24)</f>
        <v/>
      </c>
      <c r="H25" s="35">
        <f>SUM(H14:H24)</f>
        <v/>
      </c>
      <c r="I25" s="35">
        <f>SUM(I14:I24)</f>
        <v/>
      </c>
      <c r="J25" s="35">
        <f>SUM(J14:J24)</f>
        <v/>
      </c>
      <c r="K25" s="35">
        <f>SUM(K14:K24)</f>
        <v/>
      </c>
      <c r="L25" s="35">
        <f>SUM(L14:L24)</f>
        <v/>
      </c>
      <c r="M25" s="35">
        <f>SUM(M14:M24)</f>
        <v/>
      </c>
      <c r="N25" s="35">
        <f>SUM(N14:N24)</f>
        <v/>
      </c>
      <c r="O25" s="35">
        <f>SUM(O14:O24)</f>
        <v/>
      </c>
      <c r="P25" s="35">
        <f>SUM(P14:P24)</f>
        <v/>
      </c>
      <c r="Q25" s="35">
        <f>SUM(Q14:Q24)</f>
        <v/>
      </c>
      <c r="R25" s="35">
        <f>SUM(R14:R24)</f>
        <v/>
      </c>
      <c r="S25" s="35">
        <f>SUM(S14:S24)</f>
        <v/>
      </c>
      <c r="T25" s="35">
        <f>SUM(T14:T24)</f>
        <v/>
      </c>
      <c r="U25" s="35">
        <f>SUM(U14:U24)</f>
        <v/>
      </c>
      <c r="V25" s="35">
        <f>SUM(V14:V24)</f>
        <v/>
      </c>
      <c r="W25" s="35">
        <f>SUM(W14:W24)</f>
        <v/>
      </c>
      <c r="X25" s="35">
        <f>SUM(X14:X24)</f>
        <v/>
      </c>
      <c r="Y25" s="35">
        <f>SUM(Y14:Y24)</f>
        <v/>
      </c>
      <c r="Z25" s="35">
        <f>SUM(Z14:Z24)</f>
        <v/>
      </c>
      <c r="AA25" s="35">
        <f>SUM(AA14:AA24)</f>
        <v/>
      </c>
      <c r="AB25" s="35">
        <f>SUM(AB14:AB24)</f>
        <v/>
      </c>
      <c r="AC25" s="35">
        <f>SUM(AC14:AC24)</f>
        <v/>
      </c>
      <c r="AD25" s="35">
        <f>SUM(AD14:AD24)</f>
        <v/>
      </c>
    </row>
    <row r="26" ht="17" customHeight="1">
      <c r="A26" s="18" t="inlineStr">
        <is>
          <t>経常収支 月次（収入－支出）</t>
        </is>
      </c>
      <c r="B26" s="37">
        <f>B13-B25</f>
        <v/>
      </c>
      <c r="C26" s="37">
        <f>C13-C25</f>
        <v/>
      </c>
      <c r="D26" s="37">
        <f>D13-D25</f>
        <v/>
      </c>
      <c r="E26" s="37">
        <f>E13-E25</f>
        <v/>
      </c>
      <c r="F26" s="37">
        <f>F13-F25</f>
        <v/>
      </c>
      <c r="G26" s="37">
        <f>G13-G25</f>
        <v/>
      </c>
      <c r="H26" s="37">
        <f>H13-H25</f>
        <v/>
      </c>
      <c r="I26" s="37">
        <f>I13-I25</f>
        <v/>
      </c>
      <c r="J26" s="37">
        <f>J13-J25</f>
        <v/>
      </c>
      <c r="K26" s="37">
        <f>K13-K25</f>
        <v/>
      </c>
      <c r="L26" s="37">
        <f>L13-L25</f>
        <v/>
      </c>
      <c r="M26" s="37">
        <f>M13-M25</f>
        <v/>
      </c>
      <c r="N26" s="37">
        <f>N13-N25</f>
        <v/>
      </c>
      <c r="O26" s="37">
        <f>O13-O25</f>
        <v/>
      </c>
      <c r="P26" s="37">
        <f>P13-P25</f>
        <v/>
      </c>
      <c r="Q26" s="37">
        <f>Q13-Q25</f>
        <v/>
      </c>
      <c r="R26" s="37">
        <f>R13-R25</f>
        <v/>
      </c>
      <c r="S26" s="37">
        <f>S13-S25</f>
        <v/>
      </c>
      <c r="T26" s="37">
        <f>T13-T25</f>
        <v/>
      </c>
      <c r="U26" s="37">
        <f>U13-U25</f>
        <v/>
      </c>
      <c r="V26" s="37">
        <f>V13-V25</f>
        <v/>
      </c>
      <c r="W26" s="37">
        <f>W13-W25</f>
        <v/>
      </c>
      <c r="X26" s="37">
        <f>X13-X25</f>
        <v/>
      </c>
      <c r="Y26" s="37">
        <f>Y13-Y25</f>
        <v/>
      </c>
      <c r="Z26" s="37">
        <f>Z13-Z25</f>
        <v/>
      </c>
      <c r="AA26" s="37">
        <f>AA13-AA25</f>
        <v/>
      </c>
      <c r="AB26" s="37">
        <f>AB13-AB25</f>
        <v/>
      </c>
      <c r="AC26" s="37">
        <f>AC13-AC25</f>
        <v/>
      </c>
      <c r="AD26" s="37">
        <f>AD13-AD25</f>
        <v/>
      </c>
    </row>
    <row r="27" ht="17" customHeight="1">
      <c r="A27" s="13" t="inlineStr">
        <is>
          <t>経常外収支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</row>
    <row r="28" ht="17" customHeight="1">
      <c r="A28" s="5" t="inlineStr">
        <is>
          <t xml:space="preserve">  収入｜固定資産売却収入</t>
        </is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4">
        <f>SUM(B28:AC28)</f>
        <v/>
      </c>
    </row>
    <row r="29" ht="17" customHeight="1">
      <c r="A29" s="5" t="inlineStr">
        <is>
          <t xml:space="preserve">  収入｜保険金・補助金等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4">
        <f>SUM(B29:AC29)</f>
        <v/>
      </c>
    </row>
    <row r="30" ht="17" customHeight="1">
      <c r="A30" s="5" t="inlineStr">
        <is>
          <t xml:space="preserve">  収入｜その他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4">
        <f>SUM(B30:AC30)</f>
        <v/>
      </c>
    </row>
    <row r="31" ht="17" customHeight="1">
      <c r="A31" s="16" t="inlineStr">
        <is>
          <t xml:space="preserve">  収入 計</t>
        </is>
      </c>
      <c r="B31" s="35">
        <f>SUM(B28:B30)</f>
        <v/>
      </c>
      <c r="C31" s="35">
        <f>SUM(C28:C30)</f>
        <v/>
      </c>
      <c r="D31" s="35">
        <f>SUM(D28:D30)</f>
        <v/>
      </c>
      <c r="E31" s="35">
        <f>SUM(E28:E30)</f>
        <v/>
      </c>
      <c r="F31" s="35">
        <f>SUM(F28:F30)</f>
        <v/>
      </c>
      <c r="G31" s="35">
        <f>SUM(G28:G30)</f>
        <v/>
      </c>
      <c r="H31" s="35">
        <f>SUM(H28:H30)</f>
        <v/>
      </c>
      <c r="I31" s="35">
        <f>SUM(I28:I30)</f>
        <v/>
      </c>
      <c r="J31" s="35">
        <f>SUM(J28:J30)</f>
        <v/>
      </c>
      <c r="K31" s="35">
        <f>SUM(K28:K30)</f>
        <v/>
      </c>
      <c r="L31" s="35">
        <f>SUM(L28:L30)</f>
        <v/>
      </c>
      <c r="M31" s="35">
        <f>SUM(M28:M30)</f>
        <v/>
      </c>
      <c r="N31" s="35">
        <f>SUM(N28:N30)</f>
        <v/>
      </c>
      <c r="O31" s="35">
        <f>SUM(O28:O30)</f>
        <v/>
      </c>
      <c r="P31" s="35">
        <f>SUM(P28:P30)</f>
        <v/>
      </c>
      <c r="Q31" s="35">
        <f>SUM(Q28:Q30)</f>
        <v/>
      </c>
      <c r="R31" s="35">
        <f>SUM(R28:R30)</f>
        <v/>
      </c>
      <c r="S31" s="35">
        <f>SUM(S28:S30)</f>
        <v/>
      </c>
      <c r="T31" s="35">
        <f>SUM(T28:T30)</f>
        <v/>
      </c>
      <c r="U31" s="35">
        <f>SUM(U28:U30)</f>
        <v/>
      </c>
      <c r="V31" s="35">
        <f>SUM(V28:V30)</f>
        <v/>
      </c>
      <c r="W31" s="35">
        <f>SUM(W28:W30)</f>
        <v/>
      </c>
      <c r="X31" s="35">
        <f>SUM(X28:X30)</f>
        <v/>
      </c>
      <c r="Y31" s="35">
        <f>SUM(Y28:Y30)</f>
        <v/>
      </c>
      <c r="Z31" s="35">
        <f>SUM(Z28:Z30)</f>
        <v/>
      </c>
      <c r="AA31" s="35">
        <f>SUM(AA28:AA30)</f>
        <v/>
      </c>
      <c r="AB31" s="35">
        <f>SUM(AB28:AB30)</f>
        <v/>
      </c>
      <c r="AC31" s="35">
        <f>SUM(AC28:AC30)</f>
        <v/>
      </c>
      <c r="AD31" s="35">
        <f>SUM(AD28:AD30)</f>
        <v/>
      </c>
    </row>
    <row r="32" ht="17" customHeight="1">
      <c r="A32" s="5" t="inlineStr">
        <is>
          <t xml:space="preserve">  支出｜設備投資（固定資産購入）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4">
        <f>SUM(B32:AC32)</f>
        <v/>
      </c>
    </row>
    <row r="33" ht="17" customHeight="1">
      <c r="A33" s="5" t="inlineStr">
        <is>
          <t xml:space="preserve">  支出｜法人税・消費税等納付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4">
        <f>SUM(B33:AC33)</f>
        <v/>
      </c>
    </row>
    <row r="34" ht="17" customHeight="1">
      <c r="A34" s="5" t="inlineStr">
        <is>
          <t xml:space="preserve">  支出｜その他</t>
        </is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4">
        <f>SUM(B34:AC34)</f>
        <v/>
      </c>
    </row>
    <row r="35" ht="17" customHeight="1">
      <c r="A35" s="16" t="inlineStr">
        <is>
          <t xml:space="preserve">  支出 計</t>
        </is>
      </c>
      <c r="B35" s="35">
        <f>SUM(B32:B34)</f>
        <v/>
      </c>
      <c r="C35" s="35">
        <f>SUM(C32:C34)</f>
        <v/>
      </c>
      <c r="D35" s="35">
        <f>SUM(D32:D34)</f>
        <v/>
      </c>
      <c r="E35" s="35">
        <f>SUM(E32:E34)</f>
        <v/>
      </c>
      <c r="F35" s="35">
        <f>SUM(F32:F34)</f>
        <v/>
      </c>
      <c r="G35" s="35">
        <f>SUM(G32:G34)</f>
        <v/>
      </c>
      <c r="H35" s="35">
        <f>SUM(H32:H34)</f>
        <v/>
      </c>
      <c r="I35" s="35">
        <f>SUM(I32:I34)</f>
        <v/>
      </c>
      <c r="J35" s="35">
        <f>SUM(J32:J34)</f>
        <v/>
      </c>
      <c r="K35" s="35">
        <f>SUM(K32:K34)</f>
        <v/>
      </c>
      <c r="L35" s="35">
        <f>SUM(L32:L34)</f>
        <v/>
      </c>
      <c r="M35" s="35">
        <f>SUM(M32:M34)</f>
        <v/>
      </c>
      <c r="N35" s="35">
        <f>SUM(N32:N34)</f>
        <v/>
      </c>
      <c r="O35" s="35">
        <f>SUM(O32:O34)</f>
        <v/>
      </c>
      <c r="P35" s="35">
        <f>SUM(P32:P34)</f>
        <v/>
      </c>
      <c r="Q35" s="35">
        <f>SUM(Q32:Q34)</f>
        <v/>
      </c>
      <c r="R35" s="35">
        <f>SUM(R32:R34)</f>
        <v/>
      </c>
      <c r="S35" s="35">
        <f>SUM(S32:S34)</f>
        <v/>
      </c>
      <c r="T35" s="35">
        <f>SUM(T32:T34)</f>
        <v/>
      </c>
      <c r="U35" s="35">
        <f>SUM(U32:U34)</f>
        <v/>
      </c>
      <c r="V35" s="35">
        <f>SUM(V32:V34)</f>
        <v/>
      </c>
      <c r="W35" s="35">
        <f>SUM(W32:W34)</f>
        <v/>
      </c>
      <c r="X35" s="35">
        <f>SUM(X32:X34)</f>
        <v/>
      </c>
      <c r="Y35" s="35">
        <f>SUM(Y32:Y34)</f>
        <v/>
      </c>
      <c r="Z35" s="35">
        <f>SUM(Z32:Z34)</f>
        <v/>
      </c>
      <c r="AA35" s="35">
        <f>SUM(AA32:AA34)</f>
        <v/>
      </c>
      <c r="AB35" s="35">
        <f>SUM(AB32:AB34)</f>
        <v/>
      </c>
      <c r="AC35" s="35">
        <f>SUM(AC32:AC34)</f>
        <v/>
      </c>
      <c r="AD35" s="35">
        <f>SUM(AD32:AD34)</f>
        <v/>
      </c>
    </row>
    <row r="36" ht="17" customHeight="1">
      <c r="A36" s="18" t="inlineStr">
        <is>
          <t>経常外収支 差額（収入－支出）</t>
        </is>
      </c>
      <c r="B36" s="37">
        <f>B31-B35</f>
        <v/>
      </c>
      <c r="C36" s="37">
        <f>C31-C35</f>
        <v/>
      </c>
      <c r="D36" s="37">
        <f>D31-D35</f>
        <v/>
      </c>
      <c r="E36" s="37">
        <f>E31-E35</f>
        <v/>
      </c>
      <c r="F36" s="37">
        <f>F31-F35</f>
        <v/>
      </c>
      <c r="G36" s="37">
        <f>G31-G35</f>
        <v/>
      </c>
      <c r="H36" s="37">
        <f>H31-H35</f>
        <v/>
      </c>
      <c r="I36" s="37">
        <f>I31-I35</f>
        <v/>
      </c>
      <c r="J36" s="37">
        <f>J31-J35</f>
        <v/>
      </c>
      <c r="K36" s="37">
        <f>K31-K35</f>
        <v/>
      </c>
      <c r="L36" s="37">
        <f>L31-L35</f>
        <v/>
      </c>
      <c r="M36" s="37">
        <f>M31-M35</f>
        <v/>
      </c>
      <c r="N36" s="37">
        <f>N31-N35</f>
        <v/>
      </c>
      <c r="O36" s="37">
        <f>O31-O35</f>
        <v/>
      </c>
      <c r="P36" s="37">
        <f>P31-P35</f>
        <v/>
      </c>
      <c r="Q36" s="37">
        <f>Q31-Q35</f>
        <v/>
      </c>
      <c r="R36" s="37">
        <f>R31-R35</f>
        <v/>
      </c>
      <c r="S36" s="37">
        <f>S31-S35</f>
        <v/>
      </c>
      <c r="T36" s="37">
        <f>T31-T35</f>
        <v/>
      </c>
      <c r="U36" s="37">
        <f>U31-U35</f>
        <v/>
      </c>
      <c r="V36" s="37">
        <f>V31-V35</f>
        <v/>
      </c>
      <c r="W36" s="37">
        <f>W31-W35</f>
        <v/>
      </c>
      <c r="X36" s="37">
        <f>X31-X35</f>
        <v/>
      </c>
      <c r="Y36" s="37">
        <f>Y31-Y35</f>
        <v/>
      </c>
      <c r="Z36" s="37">
        <f>Z31-Z35</f>
        <v/>
      </c>
      <c r="AA36" s="37">
        <f>AA31-AA35</f>
        <v/>
      </c>
      <c r="AB36" s="37">
        <f>AB31-AB35</f>
        <v/>
      </c>
      <c r="AC36" s="37">
        <f>AC31-AC35</f>
        <v/>
      </c>
      <c r="AD36" s="37">
        <f>AD31-AD35</f>
        <v/>
      </c>
    </row>
    <row r="37" ht="17" customHeight="1">
      <c r="A37" s="13" t="inlineStr">
        <is>
          <t>財務収支</t>
        </is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</row>
    <row r="38" ht="17" customHeight="1">
      <c r="A38" s="5" t="inlineStr">
        <is>
          <t xml:space="preserve">  収入｜借入金</t>
        </is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>
        <v>18000000</v>
      </c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4">
        <f>SUM(B38:AC38)</f>
        <v/>
      </c>
    </row>
    <row r="39" ht="17" customHeight="1">
      <c r="A39" s="5" t="inlineStr">
        <is>
          <t xml:space="preserve">  収入｜増資・出資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4">
        <f>SUM(B39:AC39)</f>
        <v/>
      </c>
    </row>
    <row r="40" ht="17" customHeight="1">
      <c r="A40" s="5" t="inlineStr">
        <is>
          <t xml:space="preserve">  収入｜その他</t>
        </is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4">
        <f>SUM(B40:AC40)</f>
        <v/>
      </c>
    </row>
    <row r="41" ht="17" customHeight="1">
      <c r="A41" s="16" t="inlineStr">
        <is>
          <t xml:space="preserve">  収入 計</t>
        </is>
      </c>
      <c r="B41" s="35">
        <f>SUM(B38:B40)</f>
        <v/>
      </c>
      <c r="C41" s="35">
        <f>SUM(C38:C40)</f>
        <v/>
      </c>
      <c r="D41" s="35">
        <f>SUM(D38:D40)</f>
        <v/>
      </c>
      <c r="E41" s="35">
        <f>SUM(E38:E40)</f>
        <v/>
      </c>
      <c r="F41" s="35">
        <f>SUM(F38:F40)</f>
        <v/>
      </c>
      <c r="G41" s="35">
        <f>SUM(G38:G40)</f>
        <v/>
      </c>
      <c r="H41" s="35">
        <f>SUM(H38:H40)</f>
        <v/>
      </c>
      <c r="I41" s="35">
        <f>SUM(I38:I40)</f>
        <v/>
      </c>
      <c r="J41" s="35">
        <f>SUM(J38:J40)</f>
        <v/>
      </c>
      <c r="K41" s="35">
        <f>SUM(K38:K40)</f>
        <v/>
      </c>
      <c r="L41" s="35">
        <f>SUM(L38:L40)</f>
        <v/>
      </c>
      <c r="M41" s="35">
        <f>SUM(M38:M40)</f>
        <v/>
      </c>
      <c r="N41" s="35">
        <f>SUM(N38:N40)</f>
        <v/>
      </c>
      <c r="O41" s="35">
        <f>SUM(O38:O40)</f>
        <v/>
      </c>
      <c r="P41" s="35">
        <f>SUM(P38:P40)</f>
        <v/>
      </c>
      <c r="Q41" s="35">
        <f>SUM(Q38:Q40)</f>
        <v/>
      </c>
      <c r="R41" s="35">
        <f>SUM(R38:R40)</f>
        <v/>
      </c>
      <c r="S41" s="35">
        <f>SUM(S38:S40)</f>
        <v/>
      </c>
      <c r="T41" s="35">
        <f>SUM(T38:T40)</f>
        <v/>
      </c>
      <c r="U41" s="35">
        <f>SUM(U38:U40)</f>
        <v/>
      </c>
      <c r="V41" s="35">
        <f>SUM(V38:V40)</f>
        <v/>
      </c>
      <c r="W41" s="35">
        <f>SUM(W38:W40)</f>
        <v/>
      </c>
      <c r="X41" s="35">
        <f>SUM(X38:X40)</f>
        <v/>
      </c>
      <c r="Y41" s="35">
        <f>SUM(Y38:Y40)</f>
        <v/>
      </c>
      <c r="Z41" s="35">
        <f>SUM(Z38:Z40)</f>
        <v/>
      </c>
      <c r="AA41" s="35">
        <f>SUM(AA38:AA40)</f>
        <v/>
      </c>
      <c r="AB41" s="35">
        <f>SUM(AB38:AB40)</f>
        <v/>
      </c>
      <c r="AC41" s="35">
        <f>SUM(AC38:AC40)</f>
        <v/>
      </c>
      <c r="AD41" s="35">
        <f>SUM(AD38:AD40)</f>
        <v/>
      </c>
    </row>
    <row r="42" ht="17" customHeight="1">
      <c r="A42" s="5" t="inlineStr">
        <is>
          <t xml:space="preserve">  支出｜借入金返済</t>
        </is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>
        <v>8000000</v>
      </c>
      <c r="T42" s="32" t="n"/>
      <c r="U42" s="32" t="n">
        <v>2000000</v>
      </c>
      <c r="V42" s="32" t="n"/>
      <c r="W42" s="32" t="n">
        <v>2000000</v>
      </c>
      <c r="X42" s="32" t="n"/>
      <c r="Y42" s="32" t="n">
        <v>2000000</v>
      </c>
      <c r="Z42" s="32" t="n"/>
      <c r="AA42" s="32" t="n">
        <v>2000000</v>
      </c>
      <c r="AB42" s="32" t="n"/>
      <c r="AC42" s="32" t="n">
        <v>2000000</v>
      </c>
      <c r="AD42" s="34">
        <f>SUM(B42:AC42)</f>
        <v/>
      </c>
    </row>
    <row r="43" ht="17" customHeight="1">
      <c r="A43" s="5" t="inlineStr">
        <is>
          <t xml:space="preserve">  支出｜配当金・役員借入返済</t>
        </is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4">
        <f>SUM(B43:AC43)</f>
        <v/>
      </c>
    </row>
    <row r="44" ht="17" customHeight="1">
      <c r="A44" s="5" t="inlineStr">
        <is>
          <t xml:space="preserve">  支出｜その他</t>
        </is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4">
        <f>SUM(B44:AC44)</f>
        <v/>
      </c>
    </row>
    <row r="45" ht="17" customHeight="1">
      <c r="A45" s="16" t="inlineStr">
        <is>
          <t xml:space="preserve">  支出 計</t>
        </is>
      </c>
      <c r="B45" s="35">
        <f>SUM(B42:B44)</f>
        <v/>
      </c>
      <c r="C45" s="35">
        <f>SUM(C42:C44)</f>
        <v/>
      </c>
      <c r="D45" s="35">
        <f>SUM(D42:D44)</f>
        <v/>
      </c>
      <c r="E45" s="35">
        <f>SUM(E42:E44)</f>
        <v/>
      </c>
      <c r="F45" s="35">
        <f>SUM(F42:F44)</f>
        <v/>
      </c>
      <c r="G45" s="35">
        <f>SUM(G42:G44)</f>
        <v/>
      </c>
      <c r="H45" s="35">
        <f>SUM(H42:H44)</f>
        <v/>
      </c>
      <c r="I45" s="35">
        <f>SUM(I42:I44)</f>
        <v/>
      </c>
      <c r="J45" s="35">
        <f>SUM(J42:J44)</f>
        <v/>
      </c>
      <c r="K45" s="35">
        <f>SUM(K42:K44)</f>
        <v/>
      </c>
      <c r="L45" s="35">
        <f>SUM(L42:L44)</f>
        <v/>
      </c>
      <c r="M45" s="35">
        <f>SUM(M42:M44)</f>
        <v/>
      </c>
      <c r="N45" s="35">
        <f>SUM(N42:N44)</f>
        <v/>
      </c>
      <c r="O45" s="35">
        <f>SUM(O42:O44)</f>
        <v/>
      </c>
      <c r="P45" s="35">
        <f>SUM(P42:P44)</f>
        <v/>
      </c>
      <c r="Q45" s="35">
        <f>SUM(Q42:Q44)</f>
        <v/>
      </c>
      <c r="R45" s="35">
        <f>SUM(R42:R44)</f>
        <v/>
      </c>
      <c r="S45" s="35">
        <f>SUM(S42:S44)</f>
        <v/>
      </c>
      <c r="T45" s="35">
        <f>SUM(T42:T44)</f>
        <v/>
      </c>
      <c r="U45" s="35">
        <f>SUM(U42:U44)</f>
        <v/>
      </c>
      <c r="V45" s="35">
        <f>SUM(V42:V44)</f>
        <v/>
      </c>
      <c r="W45" s="35">
        <f>SUM(W42:W44)</f>
        <v/>
      </c>
      <c r="X45" s="35">
        <f>SUM(X42:X44)</f>
        <v/>
      </c>
      <c r="Y45" s="35">
        <f>SUM(Y42:Y44)</f>
        <v/>
      </c>
      <c r="Z45" s="35">
        <f>SUM(Z42:Z44)</f>
        <v/>
      </c>
      <c r="AA45" s="35">
        <f>SUM(AA42:AA44)</f>
        <v/>
      </c>
      <c r="AB45" s="35">
        <f>SUM(AB42:AB44)</f>
        <v/>
      </c>
      <c r="AC45" s="35">
        <f>SUM(AC42:AC44)</f>
        <v/>
      </c>
      <c r="AD45" s="35">
        <f>SUM(AD42:AD44)</f>
        <v/>
      </c>
    </row>
    <row r="46" ht="17" customHeight="1">
      <c r="A46" s="18" t="inlineStr">
        <is>
          <t>財務収支 差額（収入－支出）</t>
        </is>
      </c>
      <c r="B46" s="37">
        <f>B41-B45</f>
        <v/>
      </c>
      <c r="C46" s="37">
        <f>C41-C45</f>
        <v/>
      </c>
      <c r="D46" s="37">
        <f>D41-D45</f>
        <v/>
      </c>
      <c r="E46" s="37">
        <f>E41-E45</f>
        <v/>
      </c>
      <c r="F46" s="37">
        <f>F41-F45</f>
        <v/>
      </c>
      <c r="G46" s="37">
        <f>G41-G45</f>
        <v/>
      </c>
      <c r="H46" s="37">
        <f>H41-H45</f>
        <v/>
      </c>
      <c r="I46" s="37">
        <f>I41-I45</f>
        <v/>
      </c>
      <c r="J46" s="37">
        <f>J41-J45</f>
        <v/>
      </c>
      <c r="K46" s="37">
        <f>K41-K45</f>
        <v/>
      </c>
      <c r="L46" s="37">
        <f>L41-L45</f>
        <v/>
      </c>
      <c r="M46" s="37">
        <f>M41-M45</f>
        <v/>
      </c>
      <c r="N46" s="37">
        <f>N41-N45</f>
        <v/>
      </c>
      <c r="O46" s="37">
        <f>O41-O45</f>
        <v/>
      </c>
      <c r="P46" s="37">
        <f>P41-P45</f>
        <v/>
      </c>
      <c r="Q46" s="37">
        <f>Q41-Q45</f>
        <v/>
      </c>
      <c r="R46" s="37">
        <f>R41-R45</f>
        <v/>
      </c>
      <c r="S46" s="37">
        <f>S41-S45</f>
        <v/>
      </c>
      <c r="T46" s="37">
        <f>T41-T45</f>
        <v/>
      </c>
      <c r="U46" s="37">
        <f>U41-U45</f>
        <v/>
      </c>
      <c r="V46" s="37">
        <f>V41-V45</f>
        <v/>
      </c>
      <c r="W46" s="37">
        <f>W41-W45</f>
        <v/>
      </c>
      <c r="X46" s="37">
        <f>X41-X45</f>
        <v/>
      </c>
      <c r="Y46" s="37">
        <f>Y41-Y45</f>
        <v/>
      </c>
      <c r="Z46" s="37">
        <f>Z41-Z45</f>
        <v/>
      </c>
      <c r="AA46" s="37">
        <f>AA41-AA45</f>
        <v/>
      </c>
      <c r="AB46" s="37">
        <f>AB41-AB45</f>
        <v/>
      </c>
      <c r="AC46" s="37">
        <f>AC41-AC45</f>
        <v/>
      </c>
      <c r="AD46" s="37">
        <f>AD41-AD45</f>
        <v/>
      </c>
    </row>
    <row r="47" ht="17" customHeight="1">
      <c r="A47" s="18" t="inlineStr">
        <is>
          <t>前月繰越（月初残高）</t>
        </is>
      </c>
      <c r="B47" s="32" t="n">
        <v>3500000</v>
      </c>
      <c r="C47" s="37">
        <f>B48</f>
        <v/>
      </c>
      <c r="D47" s="37">
        <f>C48</f>
        <v/>
      </c>
      <c r="E47" s="37">
        <f>D48</f>
        <v/>
      </c>
      <c r="F47" s="37">
        <f>E48</f>
        <v/>
      </c>
      <c r="G47" s="37">
        <f>F48</f>
        <v/>
      </c>
      <c r="H47" s="37">
        <f>G48</f>
        <v/>
      </c>
      <c r="I47" s="37">
        <f>H48</f>
        <v/>
      </c>
      <c r="J47" s="37">
        <f>I48</f>
        <v/>
      </c>
      <c r="K47" s="37">
        <f>J48</f>
        <v/>
      </c>
      <c r="L47" s="37">
        <f>K48</f>
        <v/>
      </c>
      <c r="M47" s="37">
        <f>L48</f>
        <v/>
      </c>
      <c r="N47" s="37">
        <f>M48</f>
        <v/>
      </c>
      <c r="O47" s="37">
        <f>N48</f>
        <v/>
      </c>
      <c r="P47" s="37">
        <f>O48</f>
        <v/>
      </c>
      <c r="Q47" s="37">
        <f>P48</f>
        <v/>
      </c>
      <c r="R47" s="37">
        <f>Q48</f>
        <v/>
      </c>
      <c r="S47" s="37">
        <f>R48</f>
        <v/>
      </c>
      <c r="T47" s="37">
        <f>S48</f>
        <v/>
      </c>
      <c r="U47" s="37">
        <f>T48</f>
        <v/>
      </c>
      <c r="V47" s="37">
        <f>U48</f>
        <v/>
      </c>
      <c r="W47" s="37">
        <f>V48</f>
        <v/>
      </c>
      <c r="X47" s="37">
        <f>W48</f>
        <v/>
      </c>
      <c r="Y47" s="37">
        <f>X48</f>
        <v/>
      </c>
      <c r="Z47" s="37">
        <f>Y48</f>
        <v/>
      </c>
      <c r="AA47" s="37">
        <f>Z48</f>
        <v/>
      </c>
      <c r="AB47" s="37">
        <f>AA48</f>
        <v/>
      </c>
      <c r="AC47" s="37">
        <f>AB48</f>
        <v/>
      </c>
      <c r="AD47" s="37">
        <f>B47</f>
        <v/>
      </c>
    </row>
    <row r="48" ht="18" customHeight="1">
      <c r="A48" s="20" t="inlineStr">
        <is>
          <t>翌月繰越（月末残高）</t>
        </is>
      </c>
      <c r="B48" s="37">
        <f>B47+B26+B36+B46</f>
        <v/>
      </c>
      <c r="C48" s="37">
        <f>C47+C26+C36+C46</f>
        <v/>
      </c>
      <c r="D48" s="37">
        <f>D47+D26+D36+D46</f>
        <v/>
      </c>
      <c r="E48" s="37">
        <f>E47+E26+E36+E46</f>
        <v/>
      </c>
      <c r="F48" s="37">
        <f>F47+F26+F36+F46</f>
        <v/>
      </c>
      <c r="G48" s="37">
        <f>G47+G26+G36+G46</f>
        <v/>
      </c>
      <c r="H48" s="37">
        <f>H47+H26+H36+H46</f>
        <v/>
      </c>
      <c r="I48" s="37">
        <f>I47+I26+I36+I46</f>
        <v/>
      </c>
      <c r="J48" s="37">
        <f>J47+J26+J36+J46</f>
        <v/>
      </c>
      <c r="K48" s="37">
        <f>K47+K26+K36+K46</f>
        <v/>
      </c>
      <c r="L48" s="37">
        <f>L47+L26+L36+L46</f>
        <v/>
      </c>
      <c r="M48" s="37">
        <f>M47+M26+M36+M46</f>
        <v/>
      </c>
      <c r="N48" s="37">
        <f>N47+N26+N36+N46</f>
        <v/>
      </c>
      <c r="O48" s="37">
        <f>O47+O26+O36+O46</f>
        <v/>
      </c>
      <c r="P48" s="37">
        <f>P47+P26+P36+P46</f>
        <v/>
      </c>
      <c r="Q48" s="37">
        <f>Q47+Q26+Q36+Q46</f>
        <v/>
      </c>
      <c r="R48" s="37">
        <f>R47+R26+R36+R46</f>
        <v/>
      </c>
      <c r="S48" s="37">
        <f>S47+S26+S36+S46</f>
        <v/>
      </c>
      <c r="T48" s="37">
        <f>T47+T26+T36+T46</f>
        <v/>
      </c>
      <c r="U48" s="37">
        <f>U47+U26+U36+U46</f>
        <v/>
      </c>
      <c r="V48" s="37">
        <f>V47+V26+V36+V46</f>
        <v/>
      </c>
      <c r="W48" s="37">
        <f>W47+W26+W36+W46</f>
        <v/>
      </c>
      <c r="X48" s="37">
        <f>X47+X26+X36+X46</f>
        <v/>
      </c>
      <c r="Y48" s="37">
        <f>Y47+Y26+Y36+Y46</f>
        <v/>
      </c>
      <c r="Z48" s="37">
        <f>Z47+Z26+Z36+Z46</f>
        <v/>
      </c>
      <c r="AA48" s="37">
        <f>AA47+AA26+AA36+AA46</f>
        <v/>
      </c>
      <c r="AB48" s="37">
        <f>AB47+AB26+AB36+AB46</f>
        <v/>
      </c>
      <c r="AC48" s="37">
        <f>AC47+AC26+AC36+AC46</f>
        <v/>
      </c>
      <c r="AD48" s="37">
        <f>AC48</f>
        <v/>
      </c>
    </row>
    <row r="49" ht="18" customHeight="1">
      <c r="A49" s="7" t="inlineStr">
        <is>
          <t>残高判定</t>
        </is>
      </c>
      <c r="B49" s="21">
        <f>IF(B48&lt;$B$4,"要注意","OK")</f>
        <v/>
      </c>
      <c r="C49" s="21">
        <f>IF(C48&lt;$B$4,"要注意","OK")</f>
        <v/>
      </c>
      <c r="D49" s="21">
        <f>IF(D48&lt;$B$4,"要注意","OK")</f>
        <v/>
      </c>
      <c r="E49" s="21">
        <f>IF(E48&lt;$B$4,"要注意","OK")</f>
        <v/>
      </c>
      <c r="F49" s="21">
        <f>IF(F48&lt;$B$4,"要注意","OK")</f>
        <v/>
      </c>
      <c r="G49" s="21">
        <f>IF(G48&lt;$B$4,"要注意","OK")</f>
        <v/>
      </c>
      <c r="H49" s="21">
        <f>IF(H48&lt;$B$4,"要注意","OK")</f>
        <v/>
      </c>
      <c r="I49" s="21">
        <f>IF(I48&lt;$B$4,"要注意","OK")</f>
        <v/>
      </c>
      <c r="J49" s="21">
        <f>IF(J48&lt;$B$4,"要注意","OK")</f>
        <v/>
      </c>
      <c r="K49" s="21">
        <f>IF(K48&lt;$B$4,"要注意","OK")</f>
        <v/>
      </c>
      <c r="L49" s="21">
        <f>IF(L48&lt;$B$4,"要注意","OK")</f>
        <v/>
      </c>
      <c r="M49" s="21">
        <f>IF(M48&lt;$B$4,"要注意","OK")</f>
        <v/>
      </c>
      <c r="N49" s="21">
        <f>IF(N48&lt;$B$4,"要注意","OK")</f>
        <v/>
      </c>
      <c r="O49" s="21">
        <f>IF(O48&lt;$B$4,"要注意","OK")</f>
        <v/>
      </c>
      <c r="P49" s="21">
        <f>IF(P48&lt;$B$4,"要注意","OK")</f>
        <v/>
      </c>
      <c r="Q49" s="21">
        <f>IF(Q48&lt;$B$4,"要注意","OK")</f>
        <v/>
      </c>
      <c r="R49" s="21">
        <f>IF(R48&lt;$B$4,"要注意","OK")</f>
        <v/>
      </c>
      <c r="S49" s="21">
        <f>IF(S48&lt;$B$4,"要注意","OK")</f>
        <v/>
      </c>
      <c r="T49" s="21">
        <f>IF(T48&lt;$B$4,"要注意","OK")</f>
        <v/>
      </c>
      <c r="U49" s="21">
        <f>IF(U48&lt;$B$4,"要注意","OK")</f>
        <v/>
      </c>
      <c r="V49" s="21">
        <f>IF(V48&lt;$B$4,"要注意","OK")</f>
        <v/>
      </c>
      <c r="W49" s="21">
        <f>IF(W48&lt;$B$4,"要注意","OK")</f>
        <v/>
      </c>
      <c r="X49" s="21">
        <f>IF(X48&lt;$B$4,"要注意","OK")</f>
        <v/>
      </c>
      <c r="Y49" s="21">
        <f>IF(Y48&lt;$B$4,"要注意","OK")</f>
        <v/>
      </c>
      <c r="Z49" s="21">
        <f>IF(Z48&lt;$B$4,"要注意","OK")</f>
        <v/>
      </c>
      <c r="AA49" s="21">
        <f>IF(AA48&lt;$B$4,"要注意","OK")</f>
        <v/>
      </c>
      <c r="AB49" s="21">
        <f>IF(AB48&lt;$B$4,"要注意","OK")</f>
        <v/>
      </c>
      <c r="AC49" s="21">
        <f>IF(AC48&lt;$B$4,"要注意","OK")</f>
        <v/>
      </c>
    </row>
    <row r="50" ht="17" customHeight="1"/>
    <row r="51" ht="17" customHeight="1">
      <c r="A51" s="20" t="inlineStr">
        <is>
          <t>滞納管理（社会保険料・住民税）※資金収支の計算には含めない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</row>
    <row r="52" ht="17" customHeight="1">
      <c r="A52" s="13" t="inlineStr">
        <is>
          <t>社会保険料</t>
        </is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</row>
    <row r="53" ht="17" customHeight="1">
      <c r="A53" s="5" t="inlineStr">
        <is>
          <t xml:space="preserve">  前月からの繰越（滞納残高）</t>
        </is>
      </c>
      <c r="B53" s="38" t="n"/>
      <c r="C53" s="39">
        <f>B56</f>
        <v/>
      </c>
      <c r="D53" s="39">
        <f>C56</f>
        <v/>
      </c>
      <c r="E53" s="39">
        <f>D56</f>
        <v/>
      </c>
      <c r="F53" s="39">
        <f>E56</f>
        <v/>
      </c>
      <c r="G53" s="39">
        <f>F56</f>
        <v/>
      </c>
      <c r="H53" s="39">
        <f>G56</f>
        <v/>
      </c>
      <c r="I53" s="39">
        <f>H56</f>
        <v/>
      </c>
      <c r="J53" s="39">
        <f>I56</f>
        <v/>
      </c>
      <c r="K53" s="39">
        <f>J56</f>
        <v/>
      </c>
      <c r="L53" s="39">
        <f>K56</f>
        <v/>
      </c>
      <c r="M53" s="39">
        <f>L56</f>
        <v/>
      </c>
      <c r="N53" s="39">
        <f>M56</f>
        <v/>
      </c>
      <c r="O53" s="39">
        <f>N56</f>
        <v/>
      </c>
      <c r="P53" s="39">
        <f>O56</f>
        <v/>
      </c>
      <c r="Q53" s="39">
        <f>P56</f>
        <v/>
      </c>
      <c r="R53" s="39">
        <f>Q56</f>
        <v/>
      </c>
      <c r="S53" s="39">
        <f>R56</f>
        <v/>
      </c>
      <c r="T53" s="39">
        <f>S56</f>
        <v/>
      </c>
      <c r="U53" s="39">
        <f>T56</f>
        <v/>
      </c>
      <c r="V53" s="39">
        <f>U56</f>
        <v/>
      </c>
      <c r="W53" s="39">
        <f>V56</f>
        <v/>
      </c>
      <c r="X53" s="39">
        <f>W56</f>
        <v/>
      </c>
      <c r="Y53" s="39">
        <f>X56</f>
        <v/>
      </c>
      <c r="Z53" s="39">
        <f>Y56</f>
        <v/>
      </c>
      <c r="AA53" s="39">
        <f>Z56</f>
        <v/>
      </c>
      <c r="AB53" s="39">
        <f>AA56</f>
        <v/>
      </c>
      <c r="AC53" s="39">
        <f>AB56</f>
        <v/>
      </c>
      <c r="AD53" s="34">
        <f>B53</f>
        <v/>
      </c>
    </row>
    <row r="54" ht="17" customHeight="1">
      <c r="A54" s="5" t="inlineStr">
        <is>
          <t xml:space="preserve">  発生額（前月と同額を自動・変わる月だけ入力）</t>
        </is>
      </c>
      <c r="B54" s="38" t="n"/>
      <c r="C54" s="38" t="n"/>
      <c r="D54" s="38" t="n"/>
      <c r="E54" s="38" t="n">
        <v>1600000</v>
      </c>
      <c r="F54" s="38" t="n">
        <v>1600000</v>
      </c>
      <c r="G54" s="38" t="n">
        <v>1600000</v>
      </c>
      <c r="H54" s="38" t="n">
        <v>1600000</v>
      </c>
      <c r="I54" s="38" t="n">
        <v>1600000</v>
      </c>
      <c r="J54" s="38" t="n">
        <v>1600000</v>
      </c>
      <c r="K54" s="38" t="n">
        <v>1600000</v>
      </c>
      <c r="L54" s="38" t="n">
        <v>1810000</v>
      </c>
      <c r="M54" s="38" t="n">
        <v>1810000</v>
      </c>
      <c r="N54" s="38" t="n">
        <v>1810000</v>
      </c>
      <c r="O54" s="38" t="n">
        <v>1810000</v>
      </c>
      <c r="P54" s="38" t="n">
        <v>1810000</v>
      </c>
      <c r="Q54" s="38" t="n">
        <v>1810000</v>
      </c>
      <c r="R54" s="38">
        <f>Q54</f>
        <v/>
      </c>
      <c r="S54" s="38">
        <f>R54</f>
        <v/>
      </c>
      <c r="T54" s="38">
        <f>S54</f>
        <v/>
      </c>
      <c r="U54" s="38">
        <f>T54</f>
        <v/>
      </c>
      <c r="V54" s="38">
        <f>U54</f>
        <v/>
      </c>
      <c r="W54" s="38">
        <f>V54</f>
        <v/>
      </c>
      <c r="X54" s="38">
        <f>W54</f>
        <v/>
      </c>
      <c r="Y54" s="38">
        <f>X54</f>
        <v/>
      </c>
      <c r="Z54" s="38">
        <f>Y54</f>
        <v/>
      </c>
      <c r="AA54" s="38">
        <f>Z54</f>
        <v/>
      </c>
      <c r="AB54" s="38">
        <f>AA54</f>
        <v/>
      </c>
      <c r="AC54" s="38">
        <f>AB54</f>
        <v/>
      </c>
      <c r="AD54" s="34">
        <f>SUM(B54:AC54)</f>
        <v/>
      </c>
    </row>
    <row r="55" ht="17" customHeight="1">
      <c r="A55" s="5" t="inlineStr">
        <is>
          <t xml:space="preserve">  納付額（上段から自動）</t>
        </is>
      </c>
      <c r="B55" s="39">
        <f>B19</f>
        <v/>
      </c>
      <c r="C55" s="39">
        <f>C19</f>
        <v/>
      </c>
      <c r="D55" s="39">
        <f>D19</f>
        <v/>
      </c>
      <c r="E55" s="39">
        <f>E19</f>
        <v/>
      </c>
      <c r="F55" s="39">
        <f>F19</f>
        <v/>
      </c>
      <c r="G55" s="39">
        <f>G19</f>
        <v/>
      </c>
      <c r="H55" s="39">
        <f>H19</f>
        <v/>
      </c>
      <c r="I55" s="39">
        <f>I19</f>
        <v/>
      </c>
      <c r="J55" s="39">
        <f>J19</f>
        <v/>
      </c>
      <c r="K55" s="39">
        <f>K19</f>
        <v/>
      </c>
      <c r="L55" s="39">
        <f>L19</f>
        <v/>
      </c>
      <c r="M55" s="39">
        <f>M19</f>
        <v/>
      </c>
      <c r="N55" s="39">
        <f>N19</f>
        <v/>
      </c>
      <c r="O55" s="39">
        <f>O19</f>
        <v/>
      </c>
      <c r="P55" s="39">
        <f>P19</f>
        <v/>
      </c>
      <c r="Q55" s="39">
        <f>Q19</f>
        <v/>
      </c>
      <c r="R55" s="39">
        <f>R19</f>
        <v/>
      </c>
      <c r="S55" s="39">
        <f>S19</f>
        <v/>
      </c>
      <c r="T55" s="39">
        <f>T19</f>
        <v/>
      </c>
      <c r="U55" s="39">
        <f>U19</f>
        <v/>
      </c>
      <c r="V55" s="39">
        <f>V19</f>
        <v/>
      </c>
      <c r="W55" s="39">
        <f>W19</f>
        <v/>
      </c>
      <c r="X55" s="39">
        <f>X19</f>
        <v/>
      </c>
      <c r="Y55" s="39">
        <f>Y19</f>
        <v/>
      </c>
      <c r="Z55" s="39">
        <f>Z19</f>
        <v/>
      </c>
      <c r="AA55" s="39">
        <f>AA19</f>
        <v/>
      </c>
      <c r="AB55" s="39">
        <f>AB19</f>
        <v/>
      </c>
      <c r="AC55" s="39">
        <f>AC19</f>
        <v/>
      </c>
      <c r="AD55" s="34">
        <f>SUM(B55:AC55)</f>
        <v/>
      </c>
    </row>
    <row r="56" ht="17" customHeight="1">
      <c r="A56" s="16" t="inlineStr">
        <is>
          <t xml:space="preserve">  滞納残高（累計）</t>
        </is>
      </c>
      <c r="B56" s="35">
        <f>B53+B54-B55</f>
        <v/>
      </c>
      <c r="C56" s="35">
        <f>C53+C54-C55</f>
        <v/>
      </c>
      <c r="D56" s="35">
        <f>D53+D54-D55</f>
        <v/>
      </c>
      <c r="E56" s="35">
        <f>E53+E54-E55</f>
        <v/>
      </c>
      <c r="F56" s="35">
        <f>F53+F54-F55</f>
        <v/>
      </c>
      <c r="G56" s="35">
        <f>G53+G54-G55</f>
        <v/>
      </c>
      <c r="H56" s="35">
        <f>H53+H54-H55</f>
        <v/>
      </c>
      <c r="I56" s="35">
        <f>I53+I54-I55</f>
        <v/>
      </c>
      <c r="J56" s="35">
        <f>J53+J54-J55</f>
        <v/>
      </c>
      <c r="K56" s="35">
        <f>K53+K54-K55</f>
        <v/>
      </c>
      <c r="L56" s="35">
        <f>L53+L54-L55</f>
        <v/>
      </c>
      <c r="M56" s="35">
        <f>M53+M54-M55</f>
        <v/>
      </c>
      <c r="N56" s="35">
        <f>N53+N54-N55</f>
        <v/>
      </c>
      <c r="O56" s="35">
        <f>O53+O54-O55</f>
        <v/>
      </c>
      <c r="P56" s="35">
        <f>P53+P54-P55</f>
        <v/>
      </c>
      <c r="Q56" s="35">
        <f>Q53+Q54-Q55</f>
        <v/>
      </c>
      <c r="R56" s="35">
        <f>R53+R54-R55</f>
        <v/>
      </c>
      <c r="S56" s="35">
        <f>S53+S54-S55</f>
        <v/>
      </c>
      <c r="T56" s="35">
        <f>T53+T54-T55</f>
        <v/>
      </c>
      <c r="U56" s="35">
        <f>U53+U54-U55</f>
        <v/>
      </c>
      <c r="V56" s="35">
        <f>V53+V54-V55</f>
        <v/>
      </c>
      <c r="W56" s="35">
        <f>W53+W54-W55</f>
        <v/>
      </c>
      <c r="X56" s="35">
        <f>X53+X54-X55</f>
        <v/>
      </c>
      <c r="Y56" s="35">
        <f>Y53+Y54-Y55</f>
        <v/>
      </c>
      <c r="Z56" s="35">
        <f>Z53+Z54-Z55</f>
        <v/>
      </c>
      <c r="AA56" s="35">
        <f>AA53+AA54-AA55</f>
        <v/>
      </c>
      <c r="AB56" s="35">
        <f>AB53+AB54-AB55</f>
        <v/>
      </c>
      <c r="AC56" s="35">
        <f>AC53+AC54-AC55</f>
        <v/>
      </c>
      <c r="AD56" s="35">
        <f>AC56</f>
        <v/>
      </c>
    </row>
    <row r="57" ht="17" customHeight="1">
      <c r="A57" s="13" t="inlineStr">
        <is>
          <t>住民税その他税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</row>
    <row r="58" ht="17" customHeight="1">
      <c r="A58" s="5" t="inlineStr">
        <is>
          <t xml:space="preserve">  前月からの繰越（滞納残高）</t>
        </is>
      </c>
      <c r="B58" s="38" t="n"/>
      <c r="C58" s="39">
        <f>B61</f>
        <v/>
      </c>
      <c r="D58" s="39">
        <f>C61</f>
        <v/>
      </c>
      <c r="E58" s="39">
        <f>D61</f>
        <v/>
      </c>
      <c r="F58" s="39">
        <f>E61</f>
        <v/>
      </c>
      <c r="G58" s="39">
        <f>F61</f>
        <v/>
      </c>
      <c r="H58" s="39">
        <f>G61</f>
        <v/>
      </c>
      <c r="I58" s="39">
        <f>H61</f>
        <v/>
      </c>
      <c r="J58" s="39">
        <f>I61</f>
        <v/>
      </c>
      <c r="K58" s="39">
        <f>J61</f>
        <v/>
      </c>
      <c r="L58" s="39">
        <f>K61</f>
        <v/>
      </c>
      <c r="M58" s="39">
        <f>L61</f>
        <v/>
      </c>
      <c r="N58" s="39">
        <f>M61</f>
        <v/>
      </c>
      <c r="O58" s="39">
        <f>N61</f>
        <v/>
      </c>
      <c r="P58" s="39">
        <f>O61</f>
        <v/>
      </c>
      <c r="Q58" s="39">
        <f>P61</f>
        <v/>
      </c>
      <c r="R58" s="39">
        <f>Q61</f>
        <v/>
      </c>
      <c r="S58" s="39">
        <f>R61</f>
        <v/>
      </c>
      <c r="T58" s="39">
        <f>S61</f>
        <v/>
      </c>
      <c r="U58" s="39">
        <f>T61</f>
        <v/>
      </c>
      <c r="V58" s="39">
        <f>U61</f>
        <v/>
      </c>
      <c r="W58" s="39">
        <f>V61</f>
        <v/>
      </c>
      <c r="X58" s="39">
        <f>W61</f>
        <v/>
      </c>
      <c r="Y58" s="39">
        <f>X61</f>
        <v/>
      </c>
      <c r="Z58" s="39">
        <f>Y61</f>
        <v/>
      </c>
      <c r="AA58" s="39">
        <f>Z61</f>
        <v/>
      </c>
      <c r="AB58" s="39">
        <f>AA61</f>
        <v/>
      </c>
      <c r="AC58" s="39">
        <f>AB61</f>
        <v/>
      </c>
      <c r="AD58" s="34">
        <f>B58</f>
        <v/>
      </c>
    </row>
    <row r="59" ht="17" customHeight="1">
      <c r="A59" s="5" t="inlineStr">
        <is>
          <t xml:space="preserve">  発生額（前月と同額を自動・変わる月だけ入力）</t>
        </is>
      </c>
      <c r="B59" s="38" t="n"/>
      <c r="C59" s="38" t="n"/>
      <c r="D59" s="38" t="n"/>
      <c r="E59" s="38" t="n">
        <v>510000</v>
      </c>
      <c r="F59" s="38" t="n">
        <v>510000</v>
      </c>
      <c r="G59" s="38" t="n">
        <v>510000</v>
      </c>
      <c r="H59" s="38" t="n">
        <v>510000</v>
      </c>
      <c r="I59" s="38" t="n">
        <v>510000</v>
      </c>
      <c r="J59" s="38" t="n">
        <v>510000</v>
      </c>
      <c r="K59" s="38" t="n">
        <v>510000</v>
      </c>
      <c r="L59" s="38" t="n">
        <v>550000</v>
      </c>
      <c r="M59" s="38" t="n">
        <v>550000</v>
      </c>
      <c r="N59" s="38" t="n">
        <v>550000</v>
      </c>
      <c r="O59" s="38" t="n">
        <v>550000</v>
      </c>
      <c r="P59" s="38" t="n">
        <v>550000</v>
      </c>
      <c r="Q59" s="38" t="n">
        <v>550000</v>
      </c>
      <c r="R59" s="38">
        <f>Q59</f>
        <v/>
      </c>
      <c r="S59" s="38">
        <f>R59</f>
        <v/>
      </c>
      <c r="T59" s="38">
        <f>S59</f>
        <v/>
      </c>
      <c r="U59" s="38">
        <f>T59</f>
        <v/>
      </c>
      <c r="V59" s="38">
        <f>U59</f>
        <v/>
      </c>
      <c r="W59" s="38">
        <f>V59</f>
        <v/>
      </c>
      <c r="X59" s="38">
        <f>W59</f>
        <v/>
      </c>
      <c r="Y59" s="38">
        <f>X59</f>
        <v/>
      </c>
      <c r="Z59" s="38">
        <f>Y59</f>
        <v/>
      </c>
      <c r="AA59" s="38">
        <f>Z59</f>
        <v/>
      </c>
      <c r="AB59" s="38">
        <f>AA59</f>
        <v/>
      </c>
      <c r="AC59" s="38">
        <f>AB59</f>
        <v/>
      </c>
      <c r="AD59" s="34">
        <f>SUM(B59:AC59)</f>
        <v/>
      </c>
    </row>
    <row r="60" ht="17" customHeight="1">
      <c r="A60" s="5" t="inlineStr">
        <is>
          <t xml:space="preserve">  実納付額（上段から自動）</t>
        </is>
      </c>
      <c r="B60" s="39">
        <f>B20</f>
        <v/>
      </c>
      <c r="C60" s="39">
        <f>C20</f>
        <v/>
      </c>
      <c r="D60" s="39">
        <f>D20</f>
        <v/>
      </c>
      <c r="E60" s="39">
        <f>E20</f>
        <v/>
      </c>
      <c r="F60" s="39">
        <f>F20</f>
        <v/>
      </c>
      <c r="G60" s="39">
        <f>G20</f>
        <v/>
      </c>
      <c r="H60" s="39">
        <f>H20</f>
        <v/>
      </c>
      <c r="I60" s="39">
        <f>I20</f>
        <v/>
      </c>
      <c r="J60" s="39">
        <f>J20</f>
        <v/>
      </c>
      <c r="K60" s="39">
        <f>K20</f>
        <v/>
      </c>
      <c r="L60" s="39">
        <f>L20</f>
        <v/>
      </c>
      <c r="M60" s="39">
        <f>M20</f>
        <v/>
      </c>
      <c r="N60" s="39">
        <f>N20</f>
        <v/>
      </c>
      <c r="O60" s="39">
        <f>O20</f>
        <v/>
      </c>
      <c r="P60" s="39">
        <f>P20</f>
        <v/>
      </c>
      <c r="Q60" s="39">
        <f>Q20</f>
        <v/>
      </c>
      <c r="R60" s="39">
        <f>R20</f>
        <v/>
      </c>
      <c r="S60" s="39">
        <f>S20</f>
        <v/>
      </c>
      <c r="T60" s="39">
        <f>T20</f>
        <v/>
      </c>
      <c r="U60" s="39">
        <f>U20</f>
        <v/>
      </c>
      <c r="V60" s="39">
        <f>V20</f>
        <v/>
      </c>
      <c r="W60" s="39">
        <f>W20</f>
        <v/>
      </c>
      <c r="X60" s="39">
        <f>X20</f>
        <v/>
      </c>
      <c r="Y60" s="39">
        <f>Y20</f>
        <v/>
      </c>
      <c r="Z60" s="39">
        <f>Z20</f>
        <v/>
      </c>
      <c r="AA60" s="39">
        <f>AA20</f>
        <v/>
      </c>
      <c r="AB60" s="39">
        <f>AB20</f>
        <v/>
      </c>
      <c r="AC60" s="39">
        <f>AC20</f>
        <v/>
      </c>
      <c r="AD60" s="34">
        <f>SUM(B60:AC60)</f>
        <v/>
      </c>
    </row>
    <row r="61" ht="17" customHeight="1">
      <c r="A61" s="16" t="inlineStr">
        <is>
          <t xml:space="preserve">  滞納残高（累計）</t>
        </is>
      </c>
      <c r="B61" s="35">
        <f>B58+B59-B60</f>
        <v/>
      </c>
      <c r="C61" s="35">
        <f>C58+C59-C60</f>
        <v/>
      </c>
      <c r="D61" s="35">
        <f>D58+D59-D60</f>
        <v/>
      </c>
      <c r="E61" s="35">
        <f>E58+E59-E60</f>
        <v/>
      </c>
      <c r="F61" s="35">
        <f>F58+F59-F60</f>
        <v/>
      </c>
      <c r="G61" s="35">
        <f>G58+G59-G60</f>
        <v/>
      </c>
      <c r="H61" s="35">
        <f>H58+H59-H60</f>
        <v/>
      </c>
      <c r="I61" s="35">
        <f>I58+I59-I60</f>
        <v/>
      </c>
      <c r="J61" s="35">
        <f>J58+J59-J60</f>
        <v/>
      </c>
      <c r="K61" s="35">
        <f>K58+K59-K60</f>
        <v/>
      </c>
      <c r="L61" s="35">
        <f>L58+L59-L60</f>
        <v/>
      </c>
      <c r="M61" s="35">
        <f>M58+M59-M60</f>
        <v/>
      </c>
      <c r="N61" s="35">
        <f>N58+N59-N60</f>
        <v/>
      </c>
      <c r="O61" s="35">
        <f>O58+O59-O60</f>
        <v/>
      </c>
      <c r="P61" s="35">
        <f>P58+P59-P60</f>
        <v/>
      </c>
      <c r="Q61" s="35">
        <f>Q58+Q59-Q60</f>
        <v/>
      </c>
      <c r="R61" s="35">
        <f>R58+R59-R60</f>
        <v/>
      </c>
      <c r="S61" s="35">
        <f>S58+S59-S60</f>
        <v/>
      </c>
      <c r="T61" s="35">
        <f>T58+T59-T60</f>
        <v/>
      </c>
      <c r="U61" s="35">
        <f>U58+U59-U60</f>
        <v/>
      </c>
      <c r="V61" s="35">
        <f>V58+V59-V60</f>
        <v/>
      </c>
      <c r="W61" s="35">
        <f>W58+W59-W60</f>
        <v/>
      </c>
      <c r="X61" s="35">
        <f>X58+X59-X60</f>
        <v/>
      </c>
      <c r="Y61" s="35">
        <f>Y58+Y59-Y60</f>
        <v/>
      </c>
      <c r="Z61" s="35">
        <f>Z58+Z59-Z60</f>
        <v/>
      </c>
      <c r="AA61" s="35">
        <f>AA58+AA59-AA60</f>
        <v/>
      </c>
      <c r="AB61" s="35">
        <f>AB58+AB59-AB60</f>
        <v/>
      </c>
      <c r="AC61" s="35">
        <f>AC58+AC59-AC60</f>
        <v/>
      </c>
      <c r="AD61" s="35">
        <f>AC61</f>
        <v/>
      </c>
    </row>
    <row r="62" ht="16" customHeight="1">
      <c r="A62" s="18" t="inlineStr">
        <is>
          <t>滞納残高 合計</t>
        </is>
      </c>
      <c r="B62" s="37">
        <f>B56+B61</f>
        <v/>
      </c>
      <c r="C62" s="37">
        <f>C56+C61</f>
        <v/>
      </c>
      <c r="D62" s="37">
        <f>D56+D61</f>
        <v/>
      </c>
      <c r="E62" s="37">
        <f>E56+E61</f>
        <v/>
      </c>
      <c r="F62" s="37">
        <f>F56+F61</f>
        <v/>
      </c>
      <c r="G62" s="37">
        <f>G56+G61</f>
        <v/>
      </c>
      <c r="H62" s="37">
        <f>H56+H61</f>
        <v/>
      </c>
      <c r="I62" s="37">
        <f>I56+I61</f>
        <v/>
      </c>
      <c r="J62" s="37">
        <f>J56+J61</f>
        <v/>
      </c>
      <c r="K62" s="37">
        <f>K56+K61</f>
        <v/>
      </c>
      <c r="L62" s="37">
        <f>L56+L61</f>
        <v/>
      </c>
      <c r="M62" s="37">
        <f>M56+M61</f>
        <v/>
      </c>
      <c r="N62" s="37">
        <f>N56+N61</f>
        <v/>
      </c>
      <c r="O62" s="37">
        <f>O56+O61</f>
        <v/>
      </c>
      <c r="P62" s="37">
        <f>P56+P61</f>
        <v/>
      </c>
      <c r="Q62" s="37">
        <f>Q56+Q61</f>
        <v/>
      </c>
      <c r="R62" s="37">
        <f>R56+R61</f>
        <v/>
      </c>
      <c r="S62" s="37">
        <f>S56+S61</f>
        <v/>
      </c>
      <c r="T62" s="37">
        <f>T56+T61</f>
        <v/>
      </c>
      <c r="U62" s="37">
        <f>U56+U61</f>
        <v/>
      </c>
      <c r="V62" s="37">
        <f>V56+V61</f>
        <v/>
      </c>
      <c r="W62" s="37">
        <f>W56+W61</f>
        <v/>
      </c>
      <c r="X62" s="37">
        <f>X56+X61</f>
        <v/>
      </c>
      <c r="Y62" s="37">
        <f>Y56+Y61</f>
        <v/>
      </c>
      <c r="Z62" s="37">
        <f>Z56+Z61</f>
        <v/>
      </c>
      <c r="AA62" s="37">
        <f>AA56+AA61</f>
        <v/>
      </c>
      <c r="AB62" s="37">
        <f>AB56+AB61</f>
        <v/>
      </c>
      <c r="AC62" s="37">
        <f>AC56+AC61</f>
        <v/>
      </c>
      <c r="AD62" s="37">
        <f>AD56+AD61</f>
        <v/>
      </c>
    </row>
    <row r="63" ht="16" customHeight="1">
      <c r="A63" s="18" t="inlineStr">
        <is>
          <t>実質残高（月末残高－滞納残高合計）</t>
        </is>
      </c>
      <c r="B63" s="37">
        <f>B48-B62</f>
        <v/>
      </c>
      <c r="C63" s="37">
        <f>C48-C62</f>
        <v/>
      </c>
      <c r="D63" s="37">
        <f>D48-D62</f>
        <v/>
      </c>
      <c r="E63" s="37">
        <f>E48-E62</f>
        <v/>
      </c>
      <c r="F63" s="37">
        <f>F48-F62</f>
        <v/>
      </c>
      <c r="G63" s="37">
        <f>G48-G62</f>
        <v/>
      </c>
      <c r="H63" s="37">
        <f>H48-H62</f>
        <v/>
      </c>
      <c r="I63" s="37">
        <f>I48-I62</f>
        <v/>
      </c>
      <c r="J63" s="37">
        <f>J48-J62</f>
        <v/>
      </c>
      <c r="K63" s="37">
        <f>K48-K62</f>
        <v/>
      </c>
      <c r="L63" s="37">
        <f>L48-L62</f>
        <v/>
      </c>
      <c r="M63" s="37">
        <f>M48-M62</f>
        <v/>
      </c>
      <c r="N63" s="37">
        <f>N48-N62</f>
        <v/>
      </c>
      <c r="O63" s="37">
        <f>O48-O62</f>
        <v/>
      </c>
      <c r="P63" s="37">
        <f>P48-P62</f>
        <v/>
      </c>
      <c r="Q63" s="37">
        <f>Q48-Q62</f>
        <v/>
      </c>
      <c r="R63" s="37">
        <f>R48-R62</f>
        <v/>
      </c>
      <c r="S63" s="37">
        <f>S48-S62</f>
        <v/>
      </c>
      <c r="T63" s="37">
        <f>T48-T62</f>
        <v/>
      </c>
      <c r="U63" s="37">
        <f>U48-U62</f>
        <v/>
      </c>
      <c r="V63" s="37">
        <f>V48-V62</f>
        <v/>
      </c>
      <c r="W63" s="37">
        <f>W48-W62</f>
        <v/>
      </c>
      <c r="X63" s="37">
        <f>X48-X62</f>
        <v/>
      </c>
      <c r="Y63" s="37">
        <f>Y48-Y62</f>
        <v/>
      </c>
      <c r="Z63" s="37">
        <f>Z48-Z62</f>
        <v/>
      </c>
      <c r="AA63" s="37">
        <f>AA48-AA62</f>
        <v/>
      </c>
      <c r="AB63" s="37">
        <f>AB48-AB62</f>
        <v/>
      </c>
      <c r="AC63" s="37">
        <f>AC48-AC62</f>
        <v/>
      </c>
      <c r="AD63" s="37">
        <f>AD48-AD62</f>
        <v/>
      </c>
    </row>
    <row r="64" ht="16" customHeight="1"/>
    <row r="65" ht="17" customHeight="1">
      <c r="A65" s="20" t="inlineStr">
        <is>
          <t>借入金残高管理 ※上段の財務収支（借入金・借入金返済）から自動</t>
        </is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</row>
    <row r="66" ht="17" customHeight="1">
      <c r="A66" s="5" t="inlineStr">
        <is>
          <t>前月末 借入金残高</t>
        </is>
      </c>
      <c r="B66" s="32" t="n"/>
      <c r="C66" s="35">
        <f>B69</f>
        <v/>
      </c>
      <c r="D66" s="35">
        <f>C69</f>
        <v/>
      </c>
      <c r="E66" s="35">
        <f>D69</f>
        <v/>
      </c>
      <c r="F66" s="35">
        <f>E69</f>
        <v/>
      </c>
      <c r="G66" s="35">
        <f>F69</f>
        <v/>
      </c>
      <c r="H66" s="35">
        <f>G69</f>
        <v/>
      </c>
      <c r="I66" s="35">
        <f>H69</f>
        <v/>
      </c>
      <c r="J66" s="35">
        <f>I69</f>
        <v/>
      </c>
      <c r="K66" s="35">
        <f>J69</f>
        <v/>
      </c>
      <c r="L66" s="35">
        <f>K69</f>
        <v/>
      </c>
      <c r="M66" s="35">
        <f>L69</f>
        <v/>
      </c>
      <c r="N66" s="35">
        <f>M69</f>
        <v/>
      </c>
      <c r="O66" s="35">
        <f>N69</f>
        <v/>
      </c>
      <c r="P66" s="35">
        <f>O69</f>
        <v/>
      </c>
      <c r="Q66" s="35">
        <f>P69</f>
        <v/>
      </c>
      <c r="R66" s="35">
        <f>Q69</f>
        <v/>
      </c>
      <c r="S66" s="35">
        <f>R69</f>
        <v/>
      </c>
      <c r="T66" s="35">
        <f>S69</f>
        <v/>
      </c>
      <c r="U66" s="35">
        <f>T69</f>
        <v/>
      </c>
      <c r="V66" s="35">
        <f>U69</f>
        <v/>
      </c>
      <c r="W66" s="35">
        <f>V69</f>
        <v/>
      </c>
      <c r="X66" s="35">
        <f>W69</f>
        <v/>
      </c>
      <c r="Y66" s="35">
        <f>X69</f>
        <v/>
      </c>
      <c r="Z66" s="35">
        <f>Y69</f>
        <v/>
      </c>
      <c r="AA66" s="35">
        <f>Z69</f>
        <v/>
      </c>
      <c r="AB66" s="35">
        <f>AA69</f>
        <v/>
      </c>
      <c r="AC66" s="35">
        <f>AB69</f>
        <v/>
      </c>
      <c r="AD66" s="34">
        <f>B66</f>
        <v/>
      </c>
    </row>
    <row r="67" ht="17" customHeight="1">
      <c r="A67" s="5" t="inlineStr">
        <is>
          <t xml:space="preserve">  借入（上段から自動）</t>
        </is>
      </c>
      <c r="B67" s="39">
        <f>B38</f>
        <v/>
      </c>
      <c r="C67" s="39">
        <f>C38</f>
        <v/>
      </c>
      <c r="D67" s="39">
        <f>D38</f>
        <v/>
      </c>
      <c r="E67" s="39">
        <f>E38</f>
        <v/>
      </c>
      <c r="F67" s="39">
        <f>F38</f>
        <v/>
      </c>
      <c r="G67" s="39">
        <f>G38</f>
        <v/>
      </c>
      <c r="H67" s="39">
        <f>H38</f>
        <v/>
      </c>
      <c r="I67" s="39">
        <f>I38</f>
        <v/>
      </c>
      <c r="J67" s="39">
        <f>J38</f>
        <v/>
      </c>
      <c r="K67" s="39">
        <f>K38</f>
        <v/>
      </c>
      <c r="L67" s="39">
        <f>L38</f>
        <v/>
      </c>
      <c r="M67" s="39">
        <f>M38</f>
        <v/>
      </c>
      <c r="N67" s="39">
        <f>N38</f>
        <v/>
      </c>
      <c r="O67" s="39">
        <f>O38</f>
        <v/>
      </c>
      <c r="P67" s="39">
        <f>P38</f>
        <v/>
      </c>
      <c r="Q67" s="39">
        <f>Q38</f>
        <v/>
      </c>
      <c r="R67" s="39">
        <f>R38</f>
        <v/>
      </c>
      <c r="S67" s="39">
        <f>S38</f>
        <v/>
      </c>
      <c r="T67" s="39">
        <f>T38</f>
        <v/>
      </c>
      <c r="U67" s="39">
        <f>U38</f>
        <v/>
      </c>
      <c r="V67" s="39">
        <f>V38</f>
        <v/>
      </c>
      <c r="W67" s="39">
        <f>W38</f>
        <v/>
      </c>
      <c r="X67" s="39">
        <f>X38</f>
        <v/>
      </c>
      <c r="Y67" s="39">
        <f>Y38</f>
        <v/>
      </c>
      <c r="Z67" s="39">
        <f>Z38</f>
        <v/>
      </c>
      <c r="AA67" s="39">
        <f>AA38</f>
        <v/>
      </c>
      <c r="AB67" s="39">
        <f>AB38</f>
        <v/>
      </c>
      <c r="AC67" s="39">
        <f>AC38</f>
        <v/>
      </c>
      <c r="AD67" s="34">
        <f>SUM(B67:AC67)</f>
        <v/>
      </c>
    </row>
    <row r="68">
      <c r="A68" s="5" t="inlineStr">
        <is>
          <t xml:space="preserve">  返済（上段から自動）</t>
        </is>
      </c>
      <c r="B68" s="39">
        <f>B42</f>
        <v/>
      </c>
      <c r="C68" s="39">
        <f>C42</f>
        <v/>
      </c>
      <c r="D68" s="39">
        <f>D42</f>
        <v/>
      </c>
      <c r="E68" s="39">
        <f>E42</f>
        <v/>
      </c>
      <c r="F68" s="39">
        <f>F42</f>
        <v/>
      </c>
      <c r="G68" s="39">
        <f>G42</f>
        <v/>
      </c>
      <c r="H68" s="39">
        <f>H42</f>
        <v/>
      </c>
      <c r="I68" s="39">
        <f>I42</f>
        <v/>
      </c>
      <c r="J68" s="39">
        <f>J42</f>
        <v/>
      </c>
      <c r="K68" s="39">
        <f>K42</f>
        <v/>
      </c>
      <c r="L68" s="39">
        <f>L42</f>
        <v/>
      </c>
      <c r="M68" s="39">
        <f>M42</f>
        <v/>
      </c>
      <c r="N68" s="39">
        <f>N42</f>
        <v/>
      </c>
      <c r="O68" s="39">
        <f>O42</f>
        <v/>
      </c>
      <c r="P68" s="39">
        <f>P42</f>
        <v/>
      </c>
      <c r="Q68" s="39">
        <f>Q42</f>
        <v/>
      </c>
      <c r="R68" s="39">
        <f>R42</f>
        <v/>
      </c>
      <c r="S68" s="39">
        <f>S42</f>
        <v/>
      </c>
      <c r="T68" s="39">
        <f>T42</f>
        <v/>
      </c>
      <c r="U68" s="39">
        <f>U42</f>
        <v/>
      </c>
      <c r="V68" s="39">
        <f>V42</f>
        <v/>
      </c>
      <c r="W68" s="39">
        <f>W42</f>
        <v/>
      </c>
      <c r="X68" s="39">
        <f>X42</f>
        <v/>
      </c>
      <c r="Y68" s="39">
        <f>Y42</f>
        <v/>
      </c>
      <c r="Z68" s="39">
        <f>Z42</f>
        <v/>
      </c>
      <c r="AA68" s="39">
        <f>AA42</f>
        <v/>
      </c>
      <c r="AB68" s="39">
        <f>AB42</f>
        <v/>
      </c>
      <c r="AC68" s="39">
        <f>AC42</f>
        <v/>
      </c>
      <c r="AD68" s="34">
        <f>SUM(B68:AC68)</f>
        <v/>
      </c>
    </row>
    <row r="69" ht="16" customHeight="1">
      <c r="A69" s="16" t="inlineStr">
        <is>
          <t>月末 借入金残高</t>
        </is>
      </c>
      <c r="B69" s="35">
        <f>B66+B67-B68</f>
        <v/>
      </c>
      <c r="C69" s="35">
        <f>C66+C67-C68</f>
        <v/>
      </c>
      <c r="D69" s="35">
        <f>D66+D67-D68</f>
        <v/>
      </c>
      <c r="E69" s="35">
        <f>E66+E67-E68</f>
        <v/>
      </c>
      <c r="F69" s="35">
        <f>F66+F67-F68</f>
        <v/>
      </c>
      <c r="G69" s="35">
        <f>G66+G67-G68</f>
        <v/>
      </c>
      <c r="H69" s="35">
        <f>H66+H67-H68</f>
        <v/>
      </c>
      <c r="I69" s="35">
        <f>I66+I67-I68</f>
        <v/>
      </c>
      <c r="J69" s="35">
        <f>J66+J67-J68</f>
        <v/>
      </c>
      <c r="K69" s="35">
        <f>K66+K67-K68</f>
        <v/>
      </c>
      <c r="L69" s="35">
        <f>L66+L67-L68</f>
        <v/>
      </c>
      <c r="M69" s="35">
        <f>M66+M67-M68</f>
        <v/>
      </c>
      <c r="N69" s="35">
        <f>N66+N67-N68</f>
        <v/>
      </c>
      <c r="O69" s="35">
        <f>O66+O67-O68</f>
        <v/>
      </c>
      <c r="P69" s="35">
        <f>P66+P67-P68</f>
        <v/>
      </c>
      <c r="Q69" s="35">
        <f>Q66+Q67-Q68</f>
        <v/>
      </c>
      <c r="R69" s="35">
        <f>R66+R67-R68</f>
        <v/>
      </c>
      <c r="S69" s="35">
        <f>S66+S67-S68</f>
        <v/>
      </c>
      <c r="T69" s="35">
        <f>T66+T67-T68</f>
        <v/>
      </c>
      <c r="U69" s="35">
        <f>U66+U67-U68</f>
        <v/>
      </c>
      <c r="V69" s="35">
        <f>V66+V67-V68</f>
        <v/>
      </c>
      <c r="W69" s="35">
        <f>W66+W67-W68</f>
        <v/>
      </c>
      <c r="X69" s="35">
        <f>X66+X67-X68</f>
        <v/>
      </c>
      <c r="Y69" s="35">
        <f>Y66+Y67-Y68</f>
        <v/>
      </c>
      <c r="Z69" s="35">
        <f>Z66+Z67-Z68</f>
        <v/>
      </c>
      <c r="AA69" s="35">
        <f>AA66+AA67-AA68</f>
        <v/>
      </c>
      <c r="AB69" s="35">
        <f>AB66+AB67-AB68</f>
        <v/>
      </c>
      <c r="AC69" s="35">
        <f>AC66+AC67-AC68</f>
        <v/>
      </c>
      <c r="AD69" s="35">
        <f>AC69</f>
        <v/>
      </c>
    </row>
    <row r="70" ht="16" customHeight="1"/>
    <row r="71" ht="16" customHeight="1">
      <c r="A71" s="10" t="inlineStr">
        <is>
          <t>※滞納管理：上段の「法定福利費」「住民税その他税」に実際に払った額（満額でなくても）を入れると、下段の実際の納付額・滞納残高に自動反映。本来の納付額は前月と同額が自動で入ります（変わる月だけ上書き）。</t>
        </is>
      </c>
    </row>
    <row r="72">
      <c r="A72" s="10" t="inlineStr">
        <is>
          <t>※営業収入の2025年10月〜2026年8月はDrive集計ファイルの実績値（各セルのコメントに出典）。2025年7〜9月はDriveのファイルが空で未入力。2026年9月はユーザー入力値。</t>
        </is>
      </c>
    </row>
    <row r="73">
      <c r="A73" s="10" t="inlineStr">
        <is>
          <t>※借入金残高：B66 に期首の借入金残高を入れれば、上段「収入｜借入金」「支出｜借入金返済」から毎月の残高を自動計算（マイナスは赤表示＝入力の誤り）。利息は「支払利息・割引料」へ。</t>
        </is>
      </c>
    </row>
    <row r="74">
      <c r="A74" s="10" t="inlineStr">
        <is>
          <t>※2025年7月始まりに変更：B列（2025年7月）の前月繰越・借入金残高・滞納の前月からの繰越は、7月初めの値を入力。前月繰越B47は暫定で3,500,000円（旧10月初め残高）。</t>
        </is>
      </c>
    </row>
    <row r="75"/>
    <row r="76"/>
    <row r="77"/>
    <row r="78"/>
    <row r="79"/>
  </sheetData>
  <conditionalFormatting sqref="B48:AC49">
    <cfRule type="expression" priority="1" dxfId="6">
      <formula>B$48&lt;$B$4</formula>
    </cfRule>
  </conditionalFormatting>
  <conditionalFormatting sqref="B56:AC56">
    <cfRule type="expression" priority="2" dxfId="6">
      <formula>B$56&gt;0</formula>
    </cfRule>
  </conditionalFormatting>
  <conditionalFormatting sqref="B61:AC61">
    <cfRule type="expression" priority="3" dxfId="6">
      <formula>B$61&gt;0</formula>
    </cfRule>
  </conditionalFormatting>
  <conditionalFormatting sqref="B62:AC62">
    <cfRule type="expression" priority="4" dxfId="6">
      <formula>B$62&gt;0</formula>
    </cfRule>
  </conditionalFormatting>
  <conditionalFormatting sqref="B63:AC63">
    <cfRule type="expression" priority="5" dxfId="6">
      <formula>B$63&lt;$B$4</formula>
    </cfRule>
  </conditionalFormatting>
  <conditionalFormatting sqref="B69:AC69">
    <cfRule type="expression" priority="6" dxfId="6">
      <formula>B$69&lt;0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2026-10-05T11:50:52Z</dcterms:created>
  <dcterms:modified xsi:type="dcterms:W3CDTF">2026-10-08T13:37:43Z</dcterms:modified>
  <cp:lastModifiedBy>儀尊 生島</cp:lastModifiedBy>
</cp:coreProperties>
</file>