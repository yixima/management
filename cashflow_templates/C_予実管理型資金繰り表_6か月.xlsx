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資金繰り表（予実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&quot;年&quot;m&quot;月&quot;"/>
    <numFmt numFmtId="166" formatCode="#,##0;[Red]-#,##0;&quot;-&quot;"/>
  </numFmts>
  <fonts count="7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sz val="10"/>
    </font>
    <font>
      <name val="游ゴシック"/>
      <color rgb="000000FF"/>
      <sz val="10"/>
    </font>
    <font>
      <name val="游ゴシック"/>
      <b val="1"/>
      <color rgb="00FFFFFF"/>
      <sz val="10"/>
    </font>
    <font>
      <name val="游ゴシック"/>
      <sz val="10"/>
    </font>
    <font>
      <name val="游ゴシック"/>
      <sz val="9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/>
      <top/>
      <bottom/>
      <diagonal/>
    </border>
    <border>
      <left style="thin">
        <color rgb="00A6A6A6"/>
      </left>
      <right style="thin">
        <color rgb="00A6A6A6"/>
      </right>
      <top/>
      <bottom/>
      <diagonal/>
    </border>
    <border>
      <left style="thin">
        <color rgb="00A6A6A6"/>
      </left>
      <right style="thin">
        <color rgb="00A6A6A6"/>
      </right>
      <top/>
      <bottom style="thin">
        <color rgb="00A6A6A6"/>
      </bottom>
      <diagonal/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0" fontId="5" fillId="0" borderId="1" pivotButton="0" quotePrefix="0" xfId="0"/>
    <xf numFmtId="0" fontId="5" fillId="7" borderId="1" pivotButton="0" quotePrefix="0" xfId="0"/>
    <xf numFmtId="0" fontId="2" fillId="0" borderId="1" pivotButton="0" quotePrefix="0" xfId="0"/>
    <xf numFmtId="165" fontId="3" fillId="2" borderId="1" pivotButton="0" quotePrefix="0" xfId="0"/>
    <xf numFmtId="166" fontId="3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pivotButton="0" quotePrefix="0" xfId="0"/>
    <xf numFmtId="166" fontId="2" fillId="4" borderId="1" pivotButton="0" quotePrefix="0" xfId="0"/>
    <xf numFmtId="0" fontId="2" fillId="5" borderId="1" pivotButton="0" quotePrefix="0" xfId="0"/>
    <xf numFmtId="166" fontId="5" fillId="5" borderId="1" pivotButton="0" quotePrefix="0" xfId="0"/>
    <xf numFmtId="166" fontId="5" fillId="0" borderId="1" pivotButton="0" quotePrefix="0" xfId="0"/>
    <xf numFmtId="0" fontId="2" fillId="6" borderId="1" pivotButton="0" quotePrefix="0" xfId="0"/>
    <xf numFmtId="166" fontId="2" fillId="6" borderId="1" pivotButton="0" quotePrefix="0" xfId="0"/>
    <xf numFmtId="0" fontId="4" fillId="3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パターンC：予定・実績対比型 資金繰り表（6か月）</t>
        </is>
      </c>
    </row>
    <row r="4">
      <c r="B4" s="2" t="inlineStr">
        <is>
          <t>■ 用途：月初に「予定」を立て、月末に「実績」を入れて差異を確認する管理用の形式です。</t>
        </is>
      </c>
    </row>
    <row r="5">
      <c r="B5" s="3" t="inlineStr">
        <is>
          <t xml:space="preserve">  金融機関への説明資料や、資金計画の精度向上（予測のクセの把握）に向いています。</t>
        </is>
      </c>
    </row>
    <row r="6">
      <c r="B6" s="2" t="inlineStr">
        <is>
          <t>■ 手順</t>
        </is>
      </c>
    </row>
    <row r="7">
      <c r="B7" s="3" t="inlineStr">
        <is>
          <t xml:space="preserve">  1. 「資金繰り表（予実）」シートの B3 に開始年月、B4 に期首残高、B5 に最低必要残高を入力</t>
        </is>
      </c>
    </row>
    <row r="8">
      <c r="B8" s="3" t="inlineStr">
        <is>
          <t xml:space="preserve">  2. 各月の「予定」列に計画額を入力（予定の繰越は予定どうしで連動）</t>
        </is>
      </c>
    </row>
    <row r="9">
      <c r="B9" s="3" t="inlineStr">
        <is>
          <t xml:space="preserve">  3. 月が終わったら「実績」列に実際の入出金額を入力（実績の繰越は実績どうしで連動）</t>
        </is>
      </c>
    </row>
    <row r="10">
      <c r="B10" s="3" t="inlineStr">
        <is>
          <t xml:space="preserve">  4. 「差異」列（実績－予定）で大きくずれた科目を確認し、翌月以降の予定を修正</t>
        </is>
      </c>
    </row>
    <row r="11">
      <c r="B11" s="2" t="inlineStr">
        <is>
          <t>■ 差異の見方：収入でマイナス、支出でプラスの差異は、資金繰りにとって不利な方向です。</t>
        </is>
      </c>
    </row>
    <row r="13">
      <c r="B13" s="4" t="inlineStr">
        <is>
          <t>入力セル（黄色・青字）</t>
        </is>
      </c>
    </row>
    <row r="14">
      <c r="B14" s="5" t="inlineStr">
        <is>
          <t>計算式セル（白・黒字）＝触らない</t>
        </is>
      </c>
    </row>
    <row r="15">
      <c r="B15" s="6" t="inlineStr">
        <is>
          <t>残高が「最低必要残高」を下回ると赤く表示されます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資金繰り表（予定・実績対比／6か月）</t>
        </is>
      </c>
    </row>
    <row r="2">
      <c r="A2" s="7" t="inlineStr">
        <is>
          <t>会社名</t>
        </is>
      </c>
      <c r="B2" s="4" t="inlineStr"/>
    </row>
    <row r="3">
      <c r="A3" s="7" t="inlineStr">
        <is>
          <t>開始年月</t>
        </is>
      </c>
      <c r="B3" s="8" t="n">
        <v>46296</v>
      </c>
    </row>
    <row r="4">
      <c r="A4" s="7" t="inlineStr">
        <is>
          <t>期首残高（円）</t>
        </is>
      </c>
      <c r="B4" s="9" t="n">
        <v>2000000</v>
      </c>
    </row>
    <row r="5">
      <c r="A5" s="7" t="inlineStr">
        <is>
          <t>最低必要残高（円）</t>
        </is>
      </c>
      <c r="B5" s="9" t="n">
        <v>1000000</v>
      </c>
    </row>
    <row r="7">
      <c r="A7" s="10" t="inlineStr">
        <is>
          <t>科目</t>
        </is>
      </c>
      <c r="B7" s="11">
        <f>EDATE($B$3,0)</f>
        <v/>
      </c>
      <c r="C7" s="12" t="n"/>
      <c r="D7" s="13" t="n"/>
      <c r="E7" s="11">
        <f>EDATE($B$3,1)</f>
        <v/>
      </c>
      <c r="F7" s="12" t="n"/>
      <c r="G7" s="13" t="n"/>
      <c r="H7" s="11">
        <f>EDATE($B$3,2)</f>
        <v/>
      </c>
      <c r="I7" s="12" t="n"/>
      <c r="J7" s="13" t="n"/>
      <c r="K7" s="11">
        <f>EDATE($B$3,3)</f>
        <v/>
      </c>
      <c r="L7" s="12" t="n"/>
      <c r="M7" s="13" t="n"/>
      <c r="N7" s="11">
        <f>EDATE($B$3,4)</f>
        <v/>
      </c>
      <c r="O7" s="12" t="n"/>
      <c r="P7" s="13" t="n"/>
      <c r="Q7" s="11">
        <f>EDATE($B$3,5)</f>
        <v/>
      </c>
      <c r="R7" s="12" t="n"/>
      <c r="S7" s="13" t="n"/>
    </row>
    <row r="8">
      <c r="A8" s="14" t="n"/>
      <c r="B8" s="10" t="inlineStr">
        <is>
          <t>予定</t>
        </is>
      </c>
      <c r="C8" s="10" t="inlineStr">
        <is>
          <t>実績</t>
        </is>
      </c>
      <c r="D8" s="10" t="inlineStr">
        <is>
          <t>差異</t>
        </is>
      </c>
      <c r="E8" s="10" t="inlineStr">
        <is>
          <t>予定</t>
        </is>
      </c>
      <c r="F8" s="10" t="inlineStr">
        <is>
          <t>実績</t>
        </is>
      </c>
      <c r="G8" s="10" t="inlineStr">
        <is>
          <t>差異</t>
        </is>
      </c>
      <c r="H8" s="10" t="inlineStr">
        <is>
          <t>予定</t>
        </is>
      </c>
      <c r="I8" s="10" t="inlineStr">
        <is>
          <t>実績</t>
        </is>
      </c>
      <c r="J8" s="10" t="inlineStr">
        <is>
          <t>差異</t>
        </is>
      </c>
      <c r="K8" s="10" t="inlineStr">
        <is>
          <t>予定</t>
        </is>
      </c>
      <c r="L8" s="10" t="inlineStr">
        <is>
          <t>実績</t>
        </is>
      </c>
      <c r="M8" s="10" t="inlineStr">
        <is>
          <t>差異</t>
        </is>
      </c>
      <c r="N8" s="10" t="inlineStr">
        <is>
          <t>予定</t>
        </is>
      </c>
      <c r="O8" s="10" t="inlineStr">
        <is>
          <t>実績</t>
        </is>
      </c>
      <c r="P8" s="10" t="inlineStr">
        <is>
          <t>差異</t>
        </is>
      </c>
      <c r="Q8" s="10" t="inlineStr">
        <is>
          <t>予定</t>
        </is>
      </c>
      <c r="R8" s="10" t="inlineStr">
        <is>
          <t>実績</t>
        </is>
      </c>
      <c r="S8" s="10" t="inlineStr">
        <is>
          <t>差異</t>
        </is>
      </c>
    </row>
    <row r="9">
      <c r="A9" s="15" t="inlineStr">
        <is>
          <t>前月繰越（月初残高）</t>
        </is>
      </c>
      <c r="B9" s="16">
        <f>$B$4</f>
        <v/>
      </c>
      <c r="C9" s="16">
        <f>$B$4</f>
        <v/>
      </c>
      <c r="D9" s="16">
        <f>C9-B9</f>
        <v/>
      </c>
      <c r="E9" s="16">
        <f>B48</f>
        <v/>
      </c>
      <c r="F9" s="16">
        <f>C48</f>
        <v/>
      </c>
      <c r="G9" s="16">
        <f>F9-E9</f>
        <v/>
      </c>
      <c r="H9" s="16">
        <f>E48</f>
        <v/>
      </c>
      <c r="I9" s="16">
        <f>F48</f>
        <v/>
      </c>
      <c r="J9" s="16">
        <f>I9-H9</f>
        <v/>
      </c>
      <c r="K9" s="16">
        <f>H48</f>
        <v/>
      </c>
      <c r="L9" s="16">
        <f>I48</f>
        <v/>
      </c>
      <c r="M9" s="16">
        <f>L9-K9</f>
        <v/>
      </c>
      <c r="N9" s="16">
        <f>K48</f>
        <v/>
      </c>
      <c r="O9" s="16">
        <f>L48</f>
        <v/>
      </c>
      <c r="P9" s="16">
        <f>O9-N9</f>
        <v/>
      </c>
      <c r="Q9" s="16">
        <f>N48</f>
        <v/>
      </c>
      <c r="R9" s="16">
        <f>O48</f>
        <v/>
      </c>
      <c r="S9" s="16">
        <f>R9-Q9</f>
        <v/>
      </c>
    </row>
    <row r="10">
      <c r="A10" s="17" t="inlineStr">
        <is>
          <t>経常収支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</row>
    <row r="11">
      <c r="A11" s="5" t="inlineStr">
        <is>
          <t xml:space="preserve">  収入｜現金売上</t>
        </is>
      </c>
      <c r="B11" s="9" t="n">
        <v>300000</v>
      </c>
      <c r="C11" s="9" t="n">
        <v>285000</v>
      </c>
      <c r="D11" s="19">
        <f>C11-B11</f>
        <v/>
      </c>
      <c r="E11" s="9" t="n"/>
      <c r="F11" s="9" t="n"/>
      <c r="G11" s="19">
        <f>F11-E11</f>
        <v/>
      </c>
      <c r="H11" s="9" t="n"/>
      <c r="I11" s="9" t="n"/>
      <c r="J11" s="19">
        <f>I11-H11</f>
        <v/>
      </c>
      <c r="K11" s="9" t="n"/>
      <c r="L11" s="9" t="n"/>
      <c r="M11" s="19">
        <f>L11-K11</f>
        <v/>
      </c>
      <c r="N11" s="9" t="n"/>
      <c r="O11" s="9" t="n"/>
      <c r="P11" s="19">
        <f>O11-N11</f>
        <v/>
      </c>
      <c r="Q11" s="9" t="n"/>
      <c r="R11" s="9" t="n"/>
      <c r="S11" s="19">
        <f>R11-Q11</f>
        <v/>
      </c>
    </row>
    <row r="12">
      <c r="A12" s="5" t="inlineStr">
        <is>
          <t xml:space="preserve">  収入｜売掛金回収</t>
        </is>
      </c>
      <c r="B12" s="9" t="n">
        <v>2500000</v>
      </c>
      <c r="C12" s="9" t="n">
        <v>2375000</v>
      </c>
      <c r="D12" s="19">
        <f>C12-B12</f>
        <v/>
      </c>
      <c r="E12" s="9" t="n"/>
      <c r="F12" s="9" t="n"/>
      <c r="G12" s="19">
        <f>F12-E12</f>
        <v/>
      </c>
      <c r="H12" s="9" t="n"/>
      <c r="I12" s="9" t="n"/>
      <c r="J12" s="19">
        <f>I12-H12</f>
        <v/>
      </c>
      <c r="K12" s="9" t="n"/>
      <c r="L12" s="9" t="n"/>
      <c r="M12" s="19">
        <f>L12-K12</f>
        <v/>
      </c>
      <c r="N12" s="9" t="n"/>
      <c r="O12" s="9" t="n"/>
      <c r="P12" s="19">
        <f>O12-N12</f>
        <v/>
      </c>
      <c r="Q12" s="9" t="n"/>
      <c r="R12" s="9" t="n"/>
      <c r="S12" s="19">
        <f>R12-Q12</f>
        <v/>
      </c>
    </row>
    <row r="13">
      <c r="A13" s="5" t="inlineStr">
        <is>
          <t xml:space="preserve">  収入｜受取手形期日入金</t>
        </is>
      </c>
      <c r="B13" s="9" t="n">
        <v>400000</v>
      </c>
      <c r="C13" s="9" t="n">
        <v>380000</v>
      </c>
      <c r="D13" s="19">
        <f>C13-B13</f>
        <v/>
      </c>
      <c r="E13" s="9" t="n"/>
      <c r="F13" s="9" t="n"/>
      <c r="G13" s="19">
        <f>F13-E13</f>
        <v/>
      </c>
      <c r="H13" s="9" t="n"/>
      <c r="I13" s="9" t="n"/>
      <c r="J13" s="19">
        <f>I13-H13</f>
        <v/>
      </c>
      <c r="K13" s="9" t="n"/>
      <c r="L13" s="9" t="n"/>
      <c r="M13" s="19">
        <f>L13-K13</f>
        <v/>
      </c>
      <c r="N13" s="9" t="n"/>
      <c r="O13" s="9" t="n"/>
      <c r="P13" s="19">
        <f>O13-N13</f>
        <v/>
      </c>
      <c r="Q13" s="9" t="n"/>
      <c r="R13" s="9" t="n"/>
      <c r="S13" s="19">
        <f>R13-Q13</f>
        <v/>
      </c>
    </row>
    <row r="14">
      <c r="A14" s="5" t="inlineStr">
        <is>
          <t xml:space="preserve">  収入｜手形割引</t>
        </is>
      </c>
      <c r="B14" s="9" t="n"/>
      <c r="C14" s="9" t="n"/>
      <c r="D14" s="19">
        <f>C14-B14</f>
        <v/>
      </c>
      <c r="E14" s="9" t="n"/>
      <c r="F14" s="9" t="n"/>
      <c r="G14" s="19">
        <f>F14-E14</f>
        <v/>
      </c>
      <c r="H14" s="9" t="n"/>
      <c r="I14" s="9" t="n"/>
      <c r="J14" s="19">
        <f>I14-H14</f>
        <v/>
      </c>
      <c r="K14" s="9" t="n"/>
      <c r="L14" s="9" t="n"/>
      <c r="M14" s="19">
        <f>L14-K14</f>
        <v/>
      </c>
      <c r="N14" s="9" t="n"/>
      <c r="O14" s="9" t="n"/>
      <c r="P14" s="19">
        <f>O14-N14</f>
        <v/>
      </c>
      <c r="Q14" s="9" t="n"/>
      <c r="R14" s="9" t="n"/>
      <c r="S14" s="19">
        <f>R14-Q14</f>
        <v/>
      </c>
    </row>
    <row r="15">
      <c r="A15" s="5" t="inlineStr">
        <is>
          <t xml:space="preserve">  収入｜その他収入</t>
        </is>
      </c>
      <c r="B15" s="9" t="n"/>
      <c r="C15" s="9" t="n"/>
      <c r="D15" s="19">
        <f>C15-B15</f>
        <v/>
      </c>
      <c r="E15" s="9" t="n"/>
      <c r="F15" s="9" t="n"/>
      <c r="G15" s="19">
        <f>F15-E15</f>
        <v/>
      </c>
      <c r="H15" s="9" t="n"/>
      <c r="I15" s="9" t="n"/>
      <c r="J15" s="19">
        <f>I15-H15</f>
        <v/>
      </c>
      <c r="K15" s="9" t="n"/>
      <c r="L15" s="9" t="n"/>
      <c r="M15" s="19">
        <f>L15-K15</f>
        <v/>
      </c>
      <c r="N15" s="9" t="n"/>
      <c r="O15" s="9" t="n"/>
      <c r="P15" s="19">
        <f>O15-N15</f>
        <v/>
      </c>
      <c r="Q15" s="9" t="n"/>
      <c r="R15" s="9" t="n"/>
      <c r="S15" s="19">
        <f>R15-Q15</f>
        <v/>
      </c>
    </row>
    <row r="16">
      <c r="A16" s="20" t="inlineStr">
        <is>
          <t xml:space="preserve">  収入 計</t>
        </is>
      </c>
      <c r="B16" s="21">
        <f>SUM(B11:B15)</f>
        <v/>
      </c>
      <c r="C16" s="21">
        <f>SUM(C11:C15)</f>
        <v/>
      </c>
      <c r="D16" s="21">
        <f>SUM(D11:D15)</f>
        <v/>
      </c>
      <c r="E16" s="21">
        <f>SUM(E11:E15)</f>
        <v/>
      </c>
      <c r="F16" s="21">
        <f>SUM(F11:F15)</f>
        <v/>
      </c>
      <c r="G16" s="21">
        <f>SUM(G11:G15)</f>
        <v/>
      </c>
      <c r="H16" s="21">
        <f>SUM(H11:H15)</f>
        <v/>
      </c>
      <c r="I16" s="21">
        <f>SUM(I11:I15)</f>
        <v/>
      </c>
      <c r="J16" s="21">
        <f>SUM(J11:J15)</f>
        <v/>
      </c>
      <c r="K16" s="21">
        <f>SUM(K11:K15)</f>
        <v/>
      </c>
      <c r="L16" s="21">
        <f>SUM(L11:L15)</f>
        <v/>
      </c>
      <c r="M16" s="21">
        <f>SUM(M11:M15)</f>
        <v/>
      </c>
      <c r="N16" s="21">
        <f>SUM(N11:N15)</f>
        <v/>
      </c>
      <c r="O16" s="21">
        <f>SUM(O11:O15)</f>
        <v/>
      </c>
      <c r="P16" s="21">
        <f>SUM(P11:P15)</f>
        <v/>
      </c>
      <c r="Q16" s="21">
        <f>SUM(Q11:Q15)</f>
        <v/>
      </c>
      <c r="R16" s="21">
        <f>SUM(R11:R15)</f>
        <v/>
      </c>
      <c r="S16" s="21">
        <f>SUM(S11:S15)</f>
        <v/>
      </c>
    </row>
    <row r="17">
      <c r="A17" s="5" t="inlineStr">
        <is>
          <t xml:space="preserve">  支出｜現金仕入</t>
        </is>
      </c>
      <c r="B17" s="9" t="n">
        <v>150000</v>
      </c>
      <c r="C17" s="9" t="n">
        <v>142000</v>
      </c>
      <c r="D17" s="19">
        <f>C17-B17</f>
        <v/>
      </c>
      <c r="E17" s="9" t="n"/>
      <c r="F17" s="9" t="n"/>
      <c r="G17" s="19">
        <f>F17-E17</f>
        <v/>
      </c>
      <c r="H17" s="9" t="n"/>
      <c r="I17" s="9" t="n"/>
      <c r="J17" s="19">
        <f>I17-H17</f>
        <v/>
      </c>
      <c r="K17" s="9" t="n"/>
      <c r="L17" s="9" t="n"/>
      <c r="M17" s="19">
        <f>L17-K17</f>
        <v/>
      </c>
      <c r="N17" s="9" t="n"/>
      <c r="O17" s="9" t="n"/>
      <c r="P17" s="19">
        <f>O17-N17</f>
        <v/>
      </c>
      <c r="Q17" s="9" t="n"/>
      <c r="R17" s="9" t="n"/>
      <c r="S17" s="19">
        <f>R17-Q17</f>
        <v/>
      </c>
    </row>
    <row r="18">
      <c r="A18" s="5" t="inlineStr">
        <is>
          <t xml:space="preserve">  支出｜買掛金支払</t>
        </is>
      </c>
      <c r="B18" s="9" t="n">
        <v>1300000</v>
      </c>
      <c r="C18" s="9" t="n">
        <v>1235000</v>
      </c>
      <c r="D18" s="19">
        <f>C18-B18</f>
        <v/>
      </c>
      <c r="E18" s="9" t="n"/>
      <c r="F18" s="9" t="n"/>
      <c r="G18" s="19">
        <f>F18-E18</f>
        <v/>
      </c>
      <c r="H18" s="9" t="n"/>
      <c r="I18" s="9" t="n"/>
      <c r="J18" s="19">
        <f>I18-H18</f>
        <v/>
      </c>
      <c r="K18" s="9" t="n"/>
      <c r="L18" s="9" t="n"/>
      <c r="M18" s="19">
        <f>L18-K18</f>
        <v/>
      </c>
      <c r="N18" s="9" t="n"/>
      <c r="O18" s="9" t="n"/>
      <c r="P18" s="19">
        <f>O18-N18</f>
        <v/>
      </c>
      <c r="Q18" s="9" t="n"/>
      <c r="R18" s="9" t="n"/>
      <c r="S18" s="19">
        <f>R18-Q18</f>
        <v/>
      </c>
    </row>
    <row r="19">
      <c r="A19" s="5" t="inlineStr">
        <is>
          <t xml:space="preserve">  支出｜支払手形決済</t>
        </is>
      </c>
      <c r="B19" s="9" t="n">
        <v>200000</v>
      </c>
      <c r="C19" s="9" t="n">
        <v>190000</v>
      </c>
      <c r="D19" s="19">
        <f>C19-B19</f>
        <v/>
      </c>
      <c r="E19" s="9" t="n"/>
      <c r="F19" s="9" t="n"/>
      <c r="G19" s="19">
        <f>F19-E19</f>
        <v/>
      </c>
      <c r="H19" s="9" t="n"/>
      <c r="I19" s="9" t="n"/>
      <c r="J19" s="19">
        <f>I19-H19</f>
        <v/>
      </c>
      <c r="K19" s="9" t="n"/>
      <c r="L19" s="9" t="n"/>
      <c r="M19" s="19">
        <f>L19-K19</f>
        <v/>
      </c>
      <c r="N19" s="9" t="n"/>
      <c r="O19" s="9" t="n"/>
      <c r="P19" s="19">
        <f>O19-N19</f>
        <v/>
      </c>
      <c r="Q19" s="9" t="n"/>
      <c r="R19" s="9" t="n"/>
      <c r="S19" s="19">
        <f>R19-Q19</f>
        <v/>
      </c>
    </row>
    <row r="20">
      <c r="A20" s="5" t="inlineStr">
        <is>
          <t xml:space="preserve">  支出｜人件費（給与・賞与）</t>
        </is>
      </c>
      <c r="B20" s="9" t="n">
        <v>900000</v>
      </c>
      <c r="C20" s="9" t="n">
        <v>855000</v>
      </c>
      <c r="D20" s="19">
        <f>C20-B20</f>
        <v/>
      </c>
      <c r="E20" s="9" t="n"/>
      <c r="F20" s="9" t="n"/>
      <c r="G20" s="19">
        <f>F20-E20</f>
        <v/>
      </c>
      <c r="H20" s="9" t="n"/>
      <c r="I20" s="9" t="n"/>
      <c r="J20" s="19">
        <f>I20-H20</f>
        <v/>
      </c>
      <c r="K20" s="9" t="n"/>
      <c r="L20" s="9" t="n"/>
      <c r="M20" s="19">
        <f>L20-K20</f>
        <v/>
      </c>
      <c r="N20" s="9" t="n"/>
      <c r="O20" s="9" t="n"/>
      <c r="P20" s="19">
        <f>O20-N20</f>
        <v/>
      </c>
      <c r="Q20" s="9" t="n"/>
      <c r="R20" s="9" t="n"/>
      <c r="S20" s="19">
        <f>R20-Q20</f>
        <v/>
      </c>
    </row>
    <row r="21">
      <c r="A21" s="5" t="inlineStr">
        <is>
          <t xml:space="preserve">  支出｜法定福利費</t>
        </is>
      </c>
      <c r="B21" s="9" t="n">
        <v>130000</v>
      </c>
      <c r="C21" s="9" t="n">
        <v>124000</v>
      </c>
      <c r="D21" s="19">
        <f>C21-B21</f>
        <v/>
      </c>
      <c r="E21" s="9" t="n"/>
      <c r="F21" s="9" t="n"/>
      <c r="G21" s="19">
        <f>F21-E21</f>
        <v/>
      </c>
      <c r="H21" s="9" t="n"/>
      <c r="I21" s="9" t="n"/>
      <c r="J21" s="19">
        <f>I21-H21</f>
        <v/>
      </c>
      <c r="K21" s="9" t="n"/>
      <c r="L21" s="9" t="n"/>
      <c r="M21" s="19">
        <f>L21-K21</f>
        <v/>
      </c>
      <c r="N21" s="9" t="n"/>
      <c r="O21" s="9" t="n"/>
      <c r="P21" s="19">
        <f>O21-N21</f>
        <v/>
      </c>
      <c r="Q21" s="9" t="n"/>
      <c r="R21" s="9" t="n"/>
      <c r="S21" s="19">
        <f>R21-Q21</f>
        <v/>
      </c>
    </row>
    <row r="22">
      <c r="A22" s="5" t="inlineStr">
        <is>
          <t xml:space="preserve">  支出｜地代家賃</t>
        </is>
      </c>
      <c r="B22" s="9" t="n">
        <v>200000</v>
      </c>
      <c r="C22" s="9" t="n">
        <v>190000</v>
      </c>
      <c r="D22" s="19">
        <f>C22-B22</f>
        <v/>
      </c>
      <c r="E22" s="9" t="n"/>
      <c r="F22" s="9" t="n"/>
      <c r="G22" s="19">
        <f>F22-E22</f>
        <v/>
      </c>
      <c r="H22" s="9" t="n"/>
      <c r="I22" s="9" t="n"/>
      <c r="J22" s="19">
        <f>I22-H22</f>
        <v/>
      </c>
      <c r="K22" s="9" t="n"/>
      <c r="L22" s="9" t="n"/>
      <c r="M22" s="19">
        <f>L22-K22</f>
        <v/>
      </c>
      <c r="N22" s="9" t="n"/>
      <c r="O22" s="9" t="n"/>
      <c r="P22" s="19">
        <f>O22-N22</f>
        <v/>
      </c>
      <c r="Q22" s="9" t="n"/>
      <c r="R22" s="9" t="n"/>
      <c r="S22" s="19">
        <f>R22-Q22</f>
        <v/>
      </c>
    </row>
    <row r="23">
      <c r="A23" s="5" t="inlineStr">
        <is>
          <t xml:space="preserve">  支出｜水道光熱費・通信費</t>
        </is>
      </c>
      <c r="B23" s="9" t="n">
        <v>60000</v>
      </c>
      <c r="C23" s="9" t="n">
        <v>57000</v>
      </c>
      <c r="D23" s="19">
        <f>C23-B23</f>
        <v/>
      </c>
      <c r="E23" s="9" t="n"/>
      <c r="F23" s="9" t="n"/>
      <c r="G23" s="19">
        <f>F23-E23</f>
        <v/>
      </c>
      <c r="H23" s="9" t="n"/>
      <c r="I23" s="9" t="n"/>
      <c r="J23" s="19">
        <f>I23-H23</f>
        <v/>
      </c>
      <c r="K23" s="9" t="n"/>
      <c r="L23" s="9" t="n"/>
      <c r="M23" s="19">
        <f>L23-K23</f>
        <v/>
      </c>
      <c r="N23" s="9" t="n"/>
      <c r="O23" s="9" t="n"/>
      <c r="P23" s="19">
        <f>O23-N23</f>
        <v/>
      </c>
      <c r="Q23" s="9" t="n"/>
      <c r="R23" s="9" t="n"/>
      <c r="S23" s="19">
        <f>R23-Q23</f>
        <v/>
      </c>
    </row>
    <row r="24">
      <c r="A24" s="5" t="inlineStr">
        <is>
          <t xml:space="preserve">  支出｜その他経費</t>
        </is>
      </c>
      <c r="B24" s="9" t="n">
        <v>180000</v>
      </c>
      <c r="C24" s="9" t="n">
        <v>171000</v>
      </c>
      <c r="D24" s="19">
        <f>C24-B24</f>
        <v/>
      </c>
      <c r="E24" s="9" t="n"/>
      <c r="F24" s="9" t="n"/>
      <c r="G24" s="19">
        <f>F24-E24</f>
        <v/>
      </c>
      <c r="H24" s="9" t="n"/>
      <c r="I24" s="9" t="n"/>
      <c r="J24" s="19">
        <f>I24-H24</f>
        <v/>
      </c>
      <c r="K24" s="9" t="n"/>
      <c r="L24" s="9" t="n"/>
      <c r="M24" s="19">
        <f>L24-K24</f>
        <v/>
      </c>
      <c r="N24" s="9" t="n"/>
      <c r="O24" s="9" t="n"/>
      <c r="P24" s="19">
        <f>O24-N24</f>
        <v/>
      </c>
      <c r="Q24" s="9" t="n"/>
      <c r="R24" s="9" t="n"/>
      <c r="S24" s="19">
        <f>R24-Q24</f>
        <v/>
      </c>
    </row>
    <row r="25">
      <c r="A25" s="5" t="inlineStr">
        <is>
          <t xml:space="preserve">  支出｜支払利息・割引料</t>
        </is>
      </c>
      <c r="B25" s="9" t="n">
        <v>15000</v>
      </c>
      <c r="C25" s="9" t="n">
        <v>14000</v>
      </c>
      <c r="D25" s="19">
        <f>C25-B25</f>
        <v/>
      </c>
      <c r="E25" s="9" t="n"/>
      <c r="F25" s="9" t="n"/>
      <c r="G25" s="19">
        <f>F25-E25</f>
        <v/>
      </c>
      <c r="H25" s="9" t="n"/>
      <c r="I25" s="9" t="n"/>
      <c r="J25" s="19">
        <f>I25-H25</f>
        <v/>
      </c>
      <c r="K25" s="9" t="n"/>
      <c r="L25" s="9" t="n"/>
      <c r="M25" s="19">
        <f>L25-K25</f>
        <v/>
      </c>
      <c r="N25" s="9" t="n"/>
      <c r="O25" s="9" t="n"/>
      <c r="P25" s="19">
        <f>O25-N25</f>
        <v/>
      </c>
      <c r="Q25" s="9" t="n"/>
      <c r="R25" s="9" t="n"/>
      <c r="S25" s="19">
        <f>R25-Q25</f>
        <v/>
      </c>
    </row>
    <row r="26">
      <c r="A26" s="20" t="inlineStr">
        <is>
          <t xml:space="preserve">  支出 計</t>
        </is>
      </c>
      <c r="B26" s="21">
        <f>SUM(B17:B25)</f>
        <v/>
      </c>
      <c r="C26" s="21">
        <f>SUM(C17:C25)</f>
        <v/>
      </c>
      <c r="D26" s="21">
        <f>SUM(D17:D25)</f>
        <v/>
      </c>
      <c r="E26" s="21">
        <f>SUM(E17:E25)</f>
        <v/>
      </c>
      <c r="F26" s="21">
        <f>SUM(F17:F25)</f>
        <v/>
      </c>
      <c r="G26" s="21">
        <f>SUM(G17:G25)</f>
        <v/>
      </c>
      <c r="H26" s="21">
        <f>SUM(H17:H25)</f>
        <v/>
      </c>
      <c r="I26" s="21">
        <f>SUM(I17:I25)</f>
        <v/>
      </c>
      <c r="J26" s="21">
        <f>SUM(J17:J25)</f>
        <v/>
      </c>
      <c r="K26" s="21">
        <f>SUM(K17:K25)</f>
        <v/>
      </c>
      <c r="L26" s="21">
        <f>SUM(L17:L25)</f>
        <v/>
      </c>
      <c r="M26" s="21">
        <f>SUM(M17:M25)</f>
        <v/>
      </c>
      <c r="N26" s="21">
        <f>SUM(N17:N25)</f>
        <v/>
      </c>
      <c r="O26" s="21">
        <f>SUM(O17:O25)</f>
        <v/>
      </c>
      <c r="P26" s="21">
        <f>SUM(P17:P25)</f>
        <v/>
      </c>
      <c r="Q26" s="21">
        <f>SUM(Q17:Q25)</f>
        <v/>
      </c>
      <c r="R26" s="21">
        <f>SUM(R17:R25)</f>
        <v/>
      </c>
      <c r="S26" s="21">
        <f>SUM(S17:S25)</f>
        <v/>
      </c>
    </row>
    <row r="27">
      <c r="A27" s="15" t="inlineStr">
        <is>
          <t>経常収支 差額（収入－支出）</t>
        </is>
      </c>
      <c r="B27" s="16">
        <f>B16-B26</f>
        <v/>
      </c>
      <c r="C27" s="16">
        <f>C16-C26</f>
        <v/>
      </c>
      <c r="D27" s="16">
        <f>D16-D26</f>
        <v/>
      </c>
      <c r="E27" s="16">
        <f>E16-E26</f>
        <v/>
      </c>
      <c r="F27" s="16">
        <f>F16-F26</f>
        <v/>
      </c>
      <c r="G27" s="16">
        <f>G16-G26</f>
        <v/>
      </c>
      <c r="H27" s="16">
        <f>H16-H26</f>
        <v/>
      </c>
      <c r="I27" s="16">
        <f>I16-I26</f>
        <v/>
      </c>
      <c r="J27" s="16">
        <f>J16-J26</f>
        <v/>
      </c>
      <c r="K27" s="16">
        <f>K16-K26</f>
        <v/>
      </c>
      <c r="L27" s="16">
        <f>L16-L26</f>
        <v/>
      </c>
      <c r="M27" s="16">
        <f>M16-M26</f>
        <v/>
      </c>
      <c r="N27" s="16">
        <f>N16-N26</f>
        <v/>
      </c>
      <c r="O27" s="16">
        <f>O16-O26</f>
        <v/>
      </c>
      <c r="P27" s="16">
        <f>P16-P26</f>
        <v/>
      </c>
      <c r="Q27" s="16">
        <f>Q16-Q26</f>
        <v/>
      </c>
      <c r="R27" s="16">
        <f>R16-R26</f>
        <v/>
      </c>
      <c r="S27" s="16">
        <f>S16-S26</f>
        <v/>
      </c>
    </row>
    <row r="28">
      <c r="A28" s="17" t="inlineStr">
        <is>
          <t>経常外収支</t>
        </is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</row>
    <row r="29">
      <c r="A29" s="5" t="inlineStr">
        <is>
          <t xml:space="preserve">  収入｜固定資産売却収入</t>
        </is>
      </c>
      <c r="B29" s="9" t="n"/>
      <c r="C29" s="9" t="n"/>
      <c r="D29" s="19">
        <f>C29-B29</f>
        <v/>
      </c>
      <c r="E29" s="9" t="n"/>
      <c r="F29" s="9" t="n"/>
      <c r="G29" s="19">
        <f>F29-E29</f>
        <v/>
      </c>
      <c r="H29" s="9" t="n"/>
      <c r="I29" s="9" t="n"/>
      <c r="J29" s="19">
        <f>I29-H29</f>
        <v/>
      </c>
      <c r="K29" s="9" t="n"/>
      <c r="L29" s="9" t="n"/>
      <c r="M29" s="19">
        <f>L29-K29</f>
        <v/>
      </c>
      <c r="N29" s="9" t="n"/>
      <c r="O29" s="9" t="n"/>
      <c r="P29" s="19">
        <f>O29-N29</f>
        <v/>
      </c>
      <c r="Q29" s="9" t="n"/>
      <c r="R29" s="9" t="n"/>
      <c r="S29" s="19">
        <f>R29-Q29</f>
        <v/>
      </c>
    </row>
    <row r="30">
      <c r="A30" s="5" t="inlineStr">
        <is>
          <t xml:space="preserve">  収入｜保険金・補助金等</t>
        </is>
      </c>
      <c r="B30" s="9" t="n"/>
      <c r="C30" s="9" t="n"/>
      <c r="D30" s="19">
        <f>C30-B30</f>
        <v/>
      </c>
      <c r="E30" s="9" t="n"/>
      <c r="F30" s="9" t="n"/>
      <c r="G30" s="19">
        <f>F30-E30</f>
        <v/>
      </c>
      <c r="H30" s="9" t="n"/>
      <c r="I30" s="9" t="n"/>
      <c r="J30" s="19">
        <f>I30-H30</f>
        <v/>
      </c>
      <c r="K30" s="9" t="n"/>
      <c r="L30" s="9" t="n"/>
      <c r="M30" s="19">
        <f>L30-K30</f>
        <v/>
      </c>
      <c r="N30" s="9" t="n"/>
      <c r="O30" s="9" t="n"/>
      <c r="P30" s="19">
        <f>O30-N30</f>
        <v/>
      </c>
      <c r="Q30" s="9" t="n"/>
      <c r="R30" s="9" t="n"/>
      <c r="S30" s="19">
        <f>R30-Q30</f>
        <v/>
      </c>
    </row>
    <row r="31">
      <c r="A31" s="5" t="inlineStr">
        <is>
          <t xml:space="preserve">  収入｜その他</t>
        </is>
      </c>
      <c r="B31" s="9" t="n"/>
      <c r="C31" s="9" t="n"/>
      <c r="D31" s="19">
        <f>C31-B31</f>
        <v/>
      </c>
      <c r="E31" s="9" t="n"/>
      <c r="F31" s="9" t="n"/>
      <c r="G31" s="19">
        <f>F31-E31</f>
        <v/>
      </c>
      <c r="H31" s="9" t="n"/>
      <c r="I31" s="9" t="n"/>
      <c r="J31" s="19">
        <f>I31-H31</f>
        <v/>
      </c>
      <c r="K31" s="9" t="n"/>
      <c r="L31" s="9" t="n"/>
      <c r="M31" s="19">
        <f>L31-K31</f>
        <v/>
      </c>
      <c r="N31" s="9" t="n"/>
      <c r="O31" s="9" t="n"/>
      <c r="P31" s="19">
        <f>O31-N31</f>
        <v/>
      </c>
      <c r="Q31" s="9" t="n"/>
      <c r="R31" s="9" t="n"/>
      <c r="S31" s="19">
        <f>R31-Q31</f>
        <v/>
      </c>
    </row>
    <row r="32">
      <c r="A32" s="20" t="inlineStr">
        <is>
          <t xml:space="preserve">  収入 計</t>
        </is>
      </c>
      <c r="B32" s="21">
        <f>SUM(B29:B31)</f>
        <v/>
      </c>
      <c r="C32" s="21">
        <f>SUM(C29:C31)</f>
        <v/>
      </c>
      <c r="D32" s="21">
        <f>SUM(D29:D31)</f>
        <v/>
      </c>
      <c r="E32" s="21">
        <f>SUM(E29:E31)</f>
        <v/>
      </c>
      <c r="F32" s="21">
        <f>SUM(F29:F31)</f>
        <v/>
      </c>
      <c r="G32" s="21">
        <f>SUM(G29:G31)</f>
        <v/>
      </c>
      <c r="H32" s="21">
        <f>SUM(H29:H31)</f>
        <v/>
      </c>
      <c r="I32" s="21">
        <f>SUM(I29:I31)</f>
        <v/>
      </c>
      <c r="J32" s="21">
        <f>SUM(J29:J31)</f>
        <v/>
      </c>
      <c r="K32" s="21">
        <f>SUM(K29:K31)</f>
        <v/>
      </c>
      <c r="L32" s="21">
        <f>SUM(L29:L31)</f>
        <v/>
      </c>
      <c r="M32" s="21">
        <f>SUM(M29:M31)</f>
        <v/>
      </c>
      <c r="N32" s="21">
        <f>SUM(N29:N31)</f>
        <v/>
      </c>
      <c r="O32" s="21">
        <f>SUM(O29:O31)</f>
        <v/>
      </c>
      <c r="P32" s="21">
        <f>SUM(P29:P31)</f>
        <v/>
      </c>
      <c r="Q32" s="21">
        <f>SUM(Q29:Q31)</f>
        <v/>
      </c>
      <c r="R32" s="21">
        <f>SUM(R29:R31)</f>
        <v/>
      </c>
      <c r="S32" s="21">
        <f>SUM(S29:S31)</f>
        <v/>
      </c>
    </row>
    <row r="33">
      <c r="A33" s="5" t="inlineStr">
        <is>
          <t xml:space="preserve">  支出｜設備投資（固定資産購入）</t>
        </is>
      </c>
      <c r="B33" s="9" t="n"/>
      <c r="C33" s="9" t="n"/>
      <c r="D33" s="19">
        <f>C33-B33</f>
        <v/>
      </c>
      <c r="E33" s="9" t="n"/>
      <c r="F33" s="9" t="n"/>
      <c r="G33" s="19">
        <f>F33-E33</f>
        <v/>
      </c>
      <c r="H33" s="9" t="n"/>
      <c r="I33" s="9" t="n"/>
      <c r="J33" s="19">
        <f>I33-H33</f>
        <v/>
      </c>
      <c r="K33" s="9" t="n"/>
      <c r="L33" s="9" t="n"/>
      <c r="M33" s="19">
        <f>L33-K33</f>
        <v/>
      </c>
      <c r="N33" s="9" t="n"/>
      <c r="O33" s="9" t="n"/>
      <c r="P33" s="19">
        <f>O33-N33</f>
        <v/>
      </c>
      <c r="Q33" s="9" t="n"/>
      <c r="R33" s="9" t="n"/>
      <c r="S33" s="19">
        <f>R33-Q33</f>
        <v/>
      </c>
    </row>
    <row r="34">
      <c r="A34" s="5" t="inlineStr">
        <is>
          <t xml:space="preserve">  支出｜法人税・消費税等納付</t>
        </is>
      </c>
      <c r="B34" s="9" t="n">
        <v>250000</v>
      </c>
      <c r="C34" s="9" t="n">
        <v>238000</v>
      </c>
      <c r="D34" s="19">
        <f>C34-B34</f>
        <v/>
      </c>
      <c r="E34" s="9" t="n"/>
      <c r="F34" s="9" t="n"/>
      <c r="G34" s="19">
        <f>F34-E34</f>
        <v/>
      </c>
      <c r="H34" s="9" t="n"/>
      <c r="I34" s="9" t="n"/>
      <c r="J34" s="19">
        <f>I34-H34</f>
        <v/>
      </c>
      <c r="K34" s="9" t="n"/>
      <c r="L34" s="9" t="n"/>
      <c r="M34" s="19">
        <f>L34-K34</f>
        <v/>
      </c>
      <c r="N34" s="9" t="n"/>
      <c r="O34" s="9" t="n"/>
      <c r="P34" s="19">
        <f>O34-N34</f>
        <v/>
      </c>
      <c r="Q34" s="9" t="n"/>
      <c r="R34" s="9" t="n"/>
      <c r="S34" s="19">
        <f>R34-Q34</f>
        <v/>
      </c>
    </row>
    <row r="35">
      <c r="A35" s="5" t="inlineStr">
        <is>
          <t xml:space="preserve">  支出｜その他</t>
        </is>
      </c>
      <c r="B35" s="9" t="n"/>
      <c r="C35" s="9" t="n"/>
      <c r="D35" s="19">
        <f>C35-B35</f>
        <v/>
      </c>
      <c r="E35" s="9" t="n"/>
      <c r="F35" s="9" t="n"/>
      <c r="G35" s="19">
        <f>F35-E35</f>
        <v/>
      </c>
      <c r="H35" s="9" t="n"/>
      <c r="I35" s="9" t="n"/>
      <c r="J35" s="19">
        <f>I35-H35</f>
        <v/>
      </c>
      <c r="K35" s="9" t="n"/>
      <c r="L35" s="9" t="n"/>
      <c r="M35" s="19">
        <f>L35-K35</f>
        <v/>
      </c>
      <c r="N35" s="9" t="n"/>
      <c r="O35" s="9" t="n"/>
      <c r="P35" s="19">
        <f>O35-N35</f>
        <v/>
      </c>
      <c r="Q35" s="9" t="n"/>
      <c r="R35" s="9" t="n"/>
      <c r="S35" s="19">
        <f>R35-Q35</f>
        <v/>
      </c>
    </row>
    <row r="36">
      <c r="A36" s="20" t="inlineStr">
        <is>
          <t xml:space="preserve">  支出 計</t>
        </is>
      </c>
      <c r="B36" s="21">
        <f>SUM(B33:B35)</f>
        <v/>
      </c>
      <c r="C36" s="21">
        <f>SUM(C33:C35)</f>
        <v/>
      </c>
      <c r="D36" s="21">
        <f>SUM(D33:D35)</f>
        <v/>
      </c>
      <c r="E36" s="21">
        <f>SUM(E33:E35)</f>
        <v/>
      </c>
      <c r="F36" s="21">
        <f>SUM(F33:F35)</f>
        <v/>
      </c>
      <c r="G36" s="21">
        <f>SUM(G33:G35)</f>
        <v/>
      </c>
      <c r="H36" s="21">
        <f>SUM(H33:H35)</f>
        <v/>
      </c>
      <c r="I36" s="21">
        <f>SUM(I33:I35)</f>
        <v/>
      </c>
      <c r="J36" s="21">
        <f>SUM(J33:J35)</f>
        <v/>
      </c>
      <c r="K36" s="21">
        <f>SUM(K33:K35)</f>
        <v/>
      </c>
      <c r="L36" s="21">
        <f>SUM(L33:L35)</f>
        <v/>
      </c>
      <c r="M36" s="21">
        <f>SUM(M33:M35)</f>
        <v/>
      </c>
      <c r="N36" s="21">
        <f>SUM(N33:N35)</f>
        <v/>
      </c>
      <c r="O36" s="21">
        <f>SUM(O33:O35)</f>
        <v/>
      </c>
      <c r="P36" s="21">
        <f>SUM(P33:P35)</f>
        <v/>
      </c>
      <c r="Q36" s="21">
        <f>SUM(Q33:Q35)</f>
        <v/>
      </c>
      <c r="R36" s="21">
        <f>SUM(R33:R35)</f>
        <v/>
      </c>
      <c r="S36" s="21">
        <f>SUM(S33:S35)</f>
        <v/>
      </c>
    </row>
    <row r="37">
      <c r="A37" s="15" t="inlineStr">
        <is>
          <t>経常外収支 差額（収入－支出）</t>
        </is>
      </c>
      <c r="B37" s="16">
        <f>B32-B36</f>
        <v/>
      </c>
      <c r="C37" s="16">
        <f>C32-C36</f>
        <v/>
      </c>
      <c r="D37" s="16">
        <f>D32-D36</f>
        <v/>
      </c>
      <c r="E37" s="16">
        <f>E32-E36</f>
        <v/>
      </c>
      <c r="F37" s="16">
        <f>F32-F36</f>
        <v/>
      </c>
      <c r="G37" s="16">
        <f>G32-G36</f>
        <v/>
      </c>
      <c r="H37" s="16">
        <f>H32-H36</f>
        <v/>
      </c>
      <c r="I37" s="16">
        <f>I32-I36</f>
        <v/>
      </c>
      <c r="J37" s="16">
        <f>J32-J36</f>
        <v/>
      </c>
      <c r="K37" s="16">
        <f>K32-K36</f>
        <v/>
      </c>
      <c r="L37" s="16">
        <f>L32-L36</f>
        <v/>
      </c>
      <c r="M37" s="16">
        <f>M32-M36</f>
        <v/>
      </c>
      <c r="N37" s="16">
        <f>N32-N36</f>
        <v/>
      </c>
      <c r="O37" s="16">
        <f>O32-O36</f>
        <v/>
      </c>
      <c r="P37" s="16">
        <f>P32-P36</f>
        <v/>
      </c>
      <c r="Q37" s="16">
        <f>Q32-Q36</f>
        <v/>
      </c>
      <c r="R37" s="16">
        <f>R32-R36</f>
        <v/>
      </c>
      <c r="S37" s="16">
        <f>S32-S36</f>
        <v/>
      </c>
    </row>
    <row r="38">
      <c r="A38" s="17" t="inlineStr">
        <is>
          <t>財務収支</t>
        </is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</row>
    <row r="39">
      <c r="A39" s="5" t="inlineStr">
        <is>
          <t xml:space="preserve">  収入｜借入金</t>
        </is>
      </c>
      <c r="B39" s="9" t="n"/>
      <c r="C39" s="9" t="n"/>
      <c r="D39" s="19">
        <f>C39-B39</f>
        <v/>
      </c>
      <c r="E39" s="9" t="n"/>
      <c r="F39" s="9" t="n"/>
      <c r="G39" s="19">
        <f>F39-E39</f>
        <v/>
      </c>
      <c r="H39" s="9" t="n"/>
      <c r="I39" s="9" t="n"/>
      <c r="J39" s="19">
        <f>I39-H39</f>
        <v/>
      </c>
      <c r="K39" s="9" t="n"/>
      <c r="L39" s="9" t="n"/>
      <c r="M39" s="19">
        <f>L39-K39</f>
        <v/>
      </c>
      <c r="N39" s="9" t="n"/>
      <c r="O39" s="9" t="n"/>
      <c r="P39" s="19">
        <f>O39-N39</f>
        <v/>
      </c>
      <c r="Q39" s="9" t="n"/>
      <c r="R39" s="9" t="n"/>
      <c r="S39" s="19">
        <f>R39-Q39</f>
        <v/>
      </c>
    </row>
    <row r="40">
      <c r="A40" s="5" t="inlineStr">
        <is>
          <t xml:space="preserve">  収入｜増資・出資</t>
        </is>
      </c>
      <c r="B40" s="9" t="n"/>
      <c r="C40" s="9" t="n"/>
      <c r="D40" s="19">
        <f>C40-B40</f>
        <v/>
      </c>
      <c r="E40" s="9" t="n"/>
      <c r="F40" s="9" t="n"/>
      <c r="G40" s="19">
        <f>F40-E40</f>
        <v/>
      </c>
      <c r="H40" s="9" t="n"/>
      <c r="I40" s="9" t="n"/>
      <c r="J40" s="19">
        <f>I40-H40</f>
        <v/>
      </c>
      <c r="K40" s="9" t="n"/>
      <c r="L40" s="9" t="n"/>
      <c r="M40" s="19">
        <f>L40-K40</f>
        <v/>
      </c>
      <c r="N40" s="9" t="n"/>
      <c r="O40" s="9" t="n"/>
      <c r="P40" s="19">
        <f>O40-N40</f>
        <v/>
      </c>
      <c r="Q40" s="9" t="n"/>
      <c r="R40" s="9" t="n"/>
      <c r="S40" s="19">
        <f>R40-Q40</f>
        <v/>
      </c>
    </row>
    <row r="41">
      <c r="A41" s="5" t="inlineStr">
        <is>
          <t xml:space="preserve">  収入｜その他</t>
        </is>
      </c>
      <c r="B41" s="9" t="n"/>
      <c r="C41" s="9" t="n"/>
      <c r="D41" s="19">
        <f>C41-B41</f>
        <v/>
      </c>
      <c r="E41" s="9" t="n"/>
      <c r="F41" s="9" t="n"/>
      <c r="G41" s="19">
        <f>F41-E41</f>
        <v/>
      </c>
      <c r="H41" s="9" t="n"/>
      <c r="I41" s="9" t="n"/>
      <c r="J41" s="19">
        <f>I41-H41</f>
        <v/>
      </c>
      <c r="K41" s="9" t="n"/>
      <c r="L41" s="9" t="n"/>
      <c r="M41" s="19">
        <f>L41-K41</f>
        <v/>
      </c>
      <c r="N41" s="9" t="n"/>
      <c r="O41" s="9" t="n"/>
      <c r="P41" s="19">
        <f>O41-N41</f>
        <v/>
      </c>
      <c r="Q41" s="9" t="n"/>
      <c r="R41" s="9" t="n"/>
      <c r="S41" s="19">
        <f>R41-Q41</f>
        <v/>
      </c>
    </row>
    <row r="42">
      <c r="A42" s="20" t="inlineStr">
        <is>
          <t xml:space="preserve">  収入 計</t>
        </is>
      </c>
      <c r="B42" s="21">
        <f>SUM(B39:B41)</f>
        <v/>
      </c>
      <c r="C42" s="21">
        <f>SUM(C39:C41)</f>
        <v/>
      </c>
      <c r="D42" s="21">
        <f>SUM(D39:D41)</f>
        <v/>
      </c>
      <c r="E42" s="21">
        <f>SUM(E39:E41)</f>
        <v/>
      </c>
      <c r="F42" s="21">
        <f>SUM(F39:F41)</f>
        <v/>
      </c>
      <c r="G42" s="21">
        <f>SUM(G39:G41)</f>
        <v/>
      </c>
      <c r="H42" s="21">
        <f>SUM(H39:H41)</f>
        <v/>
      </c>
      <c r="I42" s="21">
        <f>SUM(I39:I41)</f>
        <v/>
      </c>
      <c r="J42" s="21">
        <f>SUM(J39:J41)</f>
        <v/>
      </c>
      <c r="K42" s="21">
        <f>SUM(K39:K41)</f>
        <v/>
      </c>
      <c r="L42" s="21">
        <f>SUM(L39:L41)</f>
        <v/>
      </c>
      <c r="M42" s="21">
        <f>SUM(M39:M41)</f>
        <v/>
      </c>
      <c r="N42" s="21">
        <f>SUM(N39:N41)</f>
        <v/>
      </c>
      <c r="O42" s="21">
        <f>SUM(O39:O41)</f>
        <v/>
      </c>
      <c r="P42" s="21">
        <f>SUM(P39:P41)</f>
        <v/>
      </c>
      <c r="Q42" s="21">
        <f>SUM(Q39:Q41)</f>
        <v/>
      </c>
      <c r="R42" s="21">
        <f>SUM(R39:R41)</f>
        <v/>
      </c>
      <c r="S42" s="21">
        <f>SUM(S39:S41)</f>
        <v/>
      </c>
    </row>
    <row r="43">
      <c r="A43" s="5" t="inlineStr">
        <is>
          <t xml:space="preserve">  支出｜借入金返済</t>
        </is>
      </c>
      <c r="B43" s="9" t="n">
        <v>150000</v>
      </c>
      <c r="C43" s="9" t="n">
        <v>142000</v>
      </c>
      <c r="D43" s="19">
        <f>C43-B43</f>
        <v/>
      </c>
      <c r="E43" s="9" t="n"/>
      <c r="F43" s="9" t="n"/>
      <c r="G43" s="19">
        <f>F43-E43</f>
        <v/>
      </c>
      <c r="H43" s="9" t="n"/>
      <c r="I43" s="9" t="n"/>
      <c r="J43" s="19">
        <f>I43-H43</f>
        <v/>
      </c>
      <c r="K43" s="9" t="n"/>
      <c r="L43" s="9" t="n"/>
      <c r="M43" s="19">
        <f>L43-K43</f>
        <v/>
      </c>
      <c r="N43" s="9" t="n"/>
      <c r="O43" s="9" t="n"/>
      <c r="P43" s="19">
        <f>O43-N43</f>
        <v/>
      </c>
      <c r="Q43" s="9" t="n"/>
      <c r="R43" s="9" t="n"/>
      <c r="S43" s="19">
        <f>R43-Q43</f>
        <v/>
      </c>
    </row>
    <row r="44">
      <c r="A44" s="5" t="inlineStr">
        <is>
          <t xml:space="preserve">  支出｜配当金・役員借入返済</t>
        </is>
      </c>
      <c r="B44" s="9" t="n"/>
      <c r="C44" s="9" t="n"/>
      <c r="D44" s="19">
        <f>C44-B44</f>
        <v/>
      </c>
      <c r="E44" s="9" t="n"/>
      <c r="F44" s="9" t="n"/>
      <c r="G44" s="19">
        <f>F44-E44</f>
        <v/>
      </c>
      <c r="H44" s="9" t="n"/>
      <c r="I44" s="9" t="n"/>
      <c r="J44" s="19">
        <f>I44-H44</f>
        <v/>
      </c>
      <c r="K44" s="9" t="n"/>
      <c r="L44" s="9" t="n"/>
      <c r="M44" s="19">
        <f>L44-K44</f>
        <v/>
      </c>
      <c r="N44" s="9" t="n"/>
      <c r="O44" s="9" t="n"/>
      <c r="P44" s="19">
        <f>O44-N44</f>
        <v/>
      </c>
      <c r="Q44" s="9" t="n"/>
      <c r="R44" s="9" t="n"/>
      <c r="S44" s="19">
        <f>R44-Q44</f>
        <v/>
      </c>
    </row>
    <row r="45">
      <c r="A45" s="5" t="inlineStr">
        <is>
          <t xml:space="preserve">  支出｜その他</t>
        </is>
      </c>
      <c r="B45" s="9" t="n"/>
      <c r="C45" s="9" t="n"/>
      <c r="D45" s="19">
        <f>C45-B45</f>
        <v/>
      </c>
      <c r="E45" s="9" t="n"/>
      <c r="F45" s="9" t="n"/>
      <c r="G45" s="19">
        <f>F45-E45</f>
        <v/>
      </c>
      <c r="H45" s="9" t="n"/>
      <c r="I45" s="9" t="n"/>
      <c r="J45" s="19">
        <f>I45-H45</f>
        <v/>
      </c>
      <c r="K45" s="9" t="n"/>
      <c r="L45" s="9" t="n"/>
      <c r="M45" s="19">
        <f>L45-K45</f>
        <v/>
      </c>
      <c r="N45" s="9" t="n"/>
      <c r="O45" s="9" t="n"/>
      <c r="P45" s="19">
        <f>O45-N45</f>
        <v/>
      </c>
      <c r="Q45" s="9" t="n"/>
      <c r="R45" s="9" t="n"/>
      <c r="S45" s="19">
        <f>R45-Q45</f>
        <v/>
      </c>
    </row>
    <row r="46">
      <c r="A46" s="20" t="inlineStr">
        <is>
          <t xml:space="preserve">  支出 計</t>
        </is>
      </c>
      <c r="B46" s="21">
        <f>SUM(B43:B45)</f>
        <v/>
      </c>
      <c r="C46" s="21">
        <f>SUM(C43:C45)</f>
        <v/>
      </c>
      <c r="D46" s="21">
        <f>SUM(D43:D45)</f>
        <v/>
      </c>
      <c r="E46" s="21">
        <f>SUM(E43:E45)</f>
        <v/>
      </c>
      <c r="F46" s="21">
        <f>SUM(F43:F45)</f>
        <v/>
      </c>
      <c r="G46" s="21">
        <f>SUM(G43:G45)</f>
        <v/>
      </c>
      <c r="H46" s="21">
        <f>SUM(H43:H45)</f>
        <v/>
      </c>
      <c r="I46" s="21">
        <f>SUM(I43:I45)</f>
        <v/>
      </c>
      <c r="J46" s="21">
        <f>SUM(J43:J45)</f>
        <v/>
      </c>
      <c r="K46" s="21">
        <f>SUM(K43:K45)</f>
        <v/>
      </c>
      <c r="L46" s="21">
        <f>SUM(L43:L45)</f>
        <v/>
      </c>
      <c r="M46" s="21">
        <f>SUM(M43:M45)</f>
        <v/>
      </c>
      <c r="N46" s="21">
        <f>SUM(N43:N45)</f>
        <v/>
      </c>
      <c r="O46" s="21">
        <f>SUM(O43:O45)</f>
        <v/>
      </c>
      <c r="P46" s="21">
        <f>SUM(P43:P45)</f>
        <v/>
      </c>
      <c r="Q46" s="21">
        <f>SUM(Q43:Q45)</f>
        <v/>
      </c>
      <c r="R46" s="21">
        <f>SUM(R43:R45)</f>
        <v/>
      </c>
      <c r="S46" s="21">
        <f>SUM(S43:S45)</f>
        <v/>
      </c>
    </row>
    <row r="47">
      <c r="A47" s="15" t="inlineStr">
        <is>
          <t>財務収支 差額（収入－支出）</t>
        </is>
      </c>
      <c r="B47" s="16">
        <f>B42-B46</f>
        <v/>
      </c>
      <c r="C47" s="16">
        <f>C42-C46</f>
        <v/>
      </c>
      <c r="D47" s="16">
        <f>D42-D46</f>
        <v/>
      </c>
      <c r="E47" s="16">
        <f>E42-E46</f>
        <v/>
      </c>
      <c r="F47" s="16">
        <f>F42-F46</f>
        <v/>
      </c>
      <c r="G47" s="16">
        <f>G42-G46</f>
        <v/>
      </c>
      <c r="H47" s="16">
        <f>H42-H46</f>
        <v/>
      </c>
      <c r="I47" s="16">
        <f>I42-I46</f>
        <v/>
      </c>
      <c r="J47" s="16">
        <f>J42-J46</f>
        <v/>
      </c>
      <c r="K47" s="16">
        <f>K42-K46</f>
        <v/>
      </c>
      <c r="L47" s="16">
        <f>L42-L46</f>
        <v/>
      </c>
      <c r="M47" s="16">
        <f>M42-M46</f>
        <v/>
      </c>
      <c r="N47" s="16">
        <f>N42-N46</f>
        <v/>
      </c>
      <c r="O47" s="16">
        <f>O42-O46</f>
        <v/>
      </c>
      <c r="P47" s="16">
        <f>P42-P46</f>
        <v/>
      </c>
      <c r="Q47" s="16">
        <f>Q42-Q46</f>
        <v/>
      </c>
      <c r="R47" s="16">
        <f>R42-R46</f>
        <v/>
      </c>
      <c r="S47" s="16">
        <f>S42-S46</f>
        <v/>
      </c>
    </row>
    <row r="48">
      <c r="A48" s="22" t="inlineStr">
        <is>
          <t>翌月繰越（月末残高）</t>
        </is>
      </c>
      <c r="B48" s="16">
        <f>B9+B27+B37+B47</f>
        <v/>
      </c>
      <c r="C48" s="16">
        <f>C9+C27+C37+C47</f>
        <v/>
      </c>
      <c r="D48" s="16">
        <f>C48-B48</f>
        <v/>
      </c>
      <c r="E48" s="16">
        <f>E9+E27+E37+E47</f>
        <v/>
      </c>
      <c r="F48" s="16">
        <f>F9+F27+F37+F47</f>
        <v/>
      </c>
      <c r="G48" s="16">
        <f>F48-E48</f>
        <v/>
      </c>
      <c r="H48" s="16">
        <f>H9+H27+H37+H47</f>
        <v/>
      </c>
      <c r="I48" s="16">
        <f>I9+I27+I37+I47</f>
        <v/>
      </c>
      <c r="J48" s="16">
        <f>I48-H48</f>
        <v/>
      </c>
      <c r="K48" s="16">
        <f>K9+K27+K37+K47</f>
        <v/>
      </c>
      <c r="L48" s="16">
        <f>L9+L27+L37+L47</f>
        <v/>
      </c>
      <c r="M48" s="16">
        <f>L48-K48</f>
        <v/>
      </c>
      <c r="N48" s="16">
        <f>N9+N27+N37+N47</f>
        <v/>
      </c>
      <c r="O48" s="16">
        <f>O9+O27+O37+O47</f>
        <v/>
      </c>
      <c r="P48" s="16">
        <f>O48-N48</f>
        <v/>
      </c>
      <c r="Q48" s="16">
        <f>Q9+Q27+Q37+Q47</f>
        <v/>
      </c>
      <c r="R48" s="16">
        <f>R9+R27+R37+R47</f>
        <v/>
      </c>
      <c r="S48" s="16">
        <f>R48-Q48</f>
        <v/>
      </c>
    </row>
    <row r="49">
      <c r="A49" s="7" t="inlineStr">
        <is>
          <t>残高判定</t>
        </is>
      </c>
      <c r="B49" s="23">
        <f>IF(B48&lt;$B$5,"要注意","OK")</f>
        <v/>
      </c>
      <c r="C49" s="23">
        <f>IF(C48&lt;$B$5,"要注意","OK")</f>
        <v/>
      </c>
      <c r="D49" s="5" t="n"/>
      <c r="E49" s="23">
        <f>IF(E48&lt;$B$5,"要注意","OK")</f>
        <v/>
      </c>
      <c r="F49" s="23">
        <f>IF(F48&lt;$B$5,"要注意","OK")</f>
        <v/>
      </c>
      <c r="G49" s="5" t="n"/>
      <c r="H49" s="23">
        <f>IF(H48&lt;$B$5,"要注意","OK")</f>
        <v/>
      </c>
      <c r="I49" s="23">
        <f>IF(I48&lt;$B$5,"要注意","OK")</f>
        <v/>
      </c>
      <c r="J49" s="5" t="n"/>
      <c r="K49" s="23">
        <f>IF(K48&lt;$B$5,"要注意","OK")</f>
        <v/>
      </c>
      <c r="L49" s="23">
        <f>IF(L48&lt;$B$5,"要注意","OK")</f>
        <v/>
      </c>
      <c r="M49" s="5" t="n"/>
      <c r="N49" s="23">
        <f>IF(N48&lt;$B$5,"要注意","OK")</f>
        <v/>
      </c>
      <c r="O49" s="23">
        <f>IF(O48&lt;$B$5,"要注意","OK")</f>
        <v/>
      </c>
      <c r="P49" s="5" t="n"/>
      <c r="Q49" s="23">
        <f>IF(Q48&lt;$B$5,"要注意","OK")</f>
        <v/>
      </c>
      <c r="R49" s="23">
        <f>IF(R48&lt;$B$5,"要注意","OK")</f>
        <v/>
      </c>
      <c r="S49" s="5" t="n"/>
    </row>
    <row r="51">
      <c r="A51" s="24" t="inlineStr">
        <is>
          <t>※1か月目の予定・実績は記入例です（実績＝予定×95%の仮の値）。差異＝実績－予定。</t>
        </is>
      </c>
    </row>
  </sheetData>
  <mergeCells count="7">
    <mergeCell ref="N7:P7"/>
    <mergeCell ref="A7:A8"/>
    <mergeCell ref="Q7:S7"/>
    <mergeCell ref="B7:D7"/>
    <mergeCell ref="E7:G7"/>
    <mergeCell ref="K7:M7"/>
    <mergeCell ref="H7:J7"/>
  </mergeCells>
  <conditionalFormatting sqref="B48:B49">
    <cfRule type="expression" priority="1" dxfId="0">
      <formula>B$48&lt;$B$5</formula>
    </cfRule>
  </conditionalFormatting>
  <conditionalFormatting sqref="C48:C49">
    <cfRule type="expression" priority="2" dxfId="0">
      <formula>C$48&lt;$B$5</formula>
    </cfRule>
  </conditionalFormatting>
  <conditionalFormatting sqref="E48:E49">
    <cfRule type="expression" priority="3" dxfId="0">
      <formula>E$48&lt;$B$5</formula>
    </cfRule>
  </conditionalFormatting>
  <conditionalFormatting sqref="F48:F49">
    <cfRule type="expression" priority="4" dxfId="0">
      <formula>F$48&lt;$B$5</formula>
    </cfRule>
  </conditionalFormatting>
  <conditionalFormatting sqref="H48:H49">
    <cfRule type="expression" priority="5" dxfId="0">
      <formula>H$48&lt;$B$5</formula>
    </cfRule>
  </conditionalFormatting>
  <conditionalFormatting sqref="I48:I49">
    <cfRule type="expression" priority="6" dxfId="0">
      <formula>I$48&lt;$B$5</formula>
    </cfRule>
  </conditionalFormatting>
  <conditionalFormatting sqref="K48:K49">
    <cfRule type="expression" priority="7" dxfId="0">
      <formula>K$48&lt;$B$5</formula>
    </cfRule>
  </conditionalFormatting>
  <conditionalFormatting sqref="L48:L49">
    <cfRule type="expression" priority="8" dxfId="0">
      <formula>L$48&lt;$B$5</formula>
    </cfRule>
  </conditionalFormatting>
  <conditionalFormatting sqref="N48:N49">
    <cfRule type="expression" priority="9" dxfId="0">
      <formula>N$48&lt;$B$5</formula>
    </cfRule>
  </conditionalFormatting>
  <conditionalFormatting sqref="O48:O49">
    <cfRule type="expression" priority="10" dxfId="0">
      <formula>O$48&lt;$B$5</formula>
    </cfRule>
  </conditionalFormatting>
  <conditionalFormatting sqref="Q48:Q49">
    <cfRule type="expression" priority="11" dxfId="0">
      <formula>Q$48&lt;$B$5</formula>
    </cfRule>
  </conditionalFormatting>
  <conditionalFormatting sqref="R48:R49">
    <cfRule type="expression" priority="12" dxfId="0">
      <formula>R$48&lt;$B$5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2026-10-05T07:45:10Z</dcterms:created>
  <dcterms:modified xsi:type="dcterms:W3CDTF">2026-10-05T07:45:10Z</dcterms:modified>
</cp:coreProperties>
</file>