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00" windowWidth="44800" windowHeight="24700" tabRatio="600" firstSheet="0" activeTab="1" autoFilterDateGrouping="1"/>
  </bookViews>
  <sheets>
    <sheet name="使い方" sheetId="1" state="visible" r:id="rId1"/>
    <sheet name="資金繰り表（月次）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#,##0;[Red]\-#,##0;&quot;-&quot;"/>
  </numFmts>
  <fonts count="10">
    <font>
      <name val="ＭＳ Ｐゴシック"/>
      <family val="2"/>
      <color theme="1"/>
      <sz val="11"/>
      <scheme val="minor"/>
    </font>
    <font>
      <name val="游ゴシック"/>
      <charset val="128"/>
      <family val="3"/>
      <b val="1"/>
      <sz val="14"/>
    </font>
    <font>
      <name val="游ゴシック"/>
      <charset val="128"/>
      <family val="3"/>
      <b val="1"/>
      <sz val="10"/>
    </font>
    <font>
      <name val="游ゴシック"/>
      <charset val="128"/>
      <family val="3"/>
      <color rgb="FF0000FF"/>
      <sz val="10"/>
    </font>
    <font>
      <name val="游ゴシック"/>
      <charset val="128"/>
      <family val="3"/>
      <sz val="9"/>
    </font>
    <font>
      <name val="游ゴシック"/>
      <charset val="128"/>
      <family val="3"/>
      <b val="1"/>
      <color rgb="FFFFFFFF"/>
      <sz val="10"/>
    </font>
    <font>
      <name val="游ゴシック"/>
      <charset val="128"/>
      <family val="3"/>
      <sz val="10"/>
    </font>
    <font>
      <name val="ＭＳ Ｐゴシック"/>
      <charset val="128"/>
      <family val="3"/>
      <sz val="6"/>
      <scheme val="minor"/>
    </font>
    <font>
      <name val="ＭＳ Ｐゴシック"/>
      <charset val="128"/>
      <family val="2"/>
      <color rgb="FF000000"/>
      <sz val="11"/>
    </font>
    <font>
      <name val="游ゴシック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FCE4D6"/>
      </patternFill>
    </fill>
    <fill>
      <patternFill patternType="solid">
        <fgColor rgb="FFFFC7CE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  <top style="thin">
        <color rgb="FFA6A6A6"/>
      </top>
      <bottom style="thin">
        <color rgb="FFA6A6A6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6" fillId="0" borderId="0" pivotButton="0" quotePrefix="0" xfId="0"/>
    <xf numFmtId="0" fontId="3" fillId="2" borderId="1" pivotButton="0" quotePrefix="0" xfId="0"/>
    <xf numFmtId="0" fontId="6" fillId="0" borderId="1" pivotButton="0" quotePrefix="0" xfId="0"/>
    <xf numFmtId="0" fontId="6" fillId="7" borderId="1" pivotButton="0" quotePrefix="0" xfId="0"/>
    <xf numFmtId="0" fontId="2" fillId="0" borderId="1" pivotButton="0" quotePrefix="0" xfId="0"/>
    <xf numFmtId="55" fontId="3" fillId="2" borderId="1" pivotButton="0" quotePrefix="0" xfId="0"/>
    <xf numFmtId="164" fontId="3" fillId="2" borderId="1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55" fontId="5" fillId="3" borderId="1" applyAlignment="1" pivotButton="0" quotePrefix="0" xfId="0">
      <alignment horizontal="center" vertical="center" wrapText="1"/>
    </xf>
    <xf numFmtId="0" fontId="2" fillId="4" borderId="1" pivotButton="0" quotePrefix="0" xfId="0"/>
    <xf numFmtId="164" fontId="6" fillId="4" borderId="1" pivotButton="0" quotePrefix="0" xfId="0"/>
    <xf numFmtId="164" fontId="6" fillId="0" borderId="1" pivotButton="0" quotePrefix="0" xfId="0"/>
    <xf numFmtId="0" fontId="2" fillId="5" borderId="1" pivotButton="0" quotePrefix="0" xfId="0"/>
    <xf numFmtId="164" fontId="2" fillId="5" borderId="1" pivotButton="0" quotePrefix="0" xfId="0"/>
    <xf numFmtId="0" fontId="2" fillId="6" borderId="1" pivotButton="0" quotePrefix="0" xfId="0"/>
    <xf numFmtId="164" fontId="2" fillId="6" borderId="1" pivotButton="0" quotePrefix="0" xfId="0"/>
    <xf numFmtId="0" fontId="5" fillId="3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6" fillId="3" borderId="1" pivotButton="0" quotePrefix="0" xfId="0"/>
    <xf numFmtId="0" fontId="6" fillId="4" borderId="1" pivotButton="0" quotePrefix="0" xfId="0"/>
    <xf numFmtId="164" fontId="0" fillId="0" borderId="0" pivotButton="0" quotePrefix="0" xfId="0"/>
    <xf numFmtId="164" fontId="0" fillId="0" borderId="0" pivotButton="0" quotePrefix="0" xfId="0"/>
    <xf numFmtId="164" fontId="3" fillId="2" borderId="1" pivotButton="0" quotePrefix="0" xfId="0"/>
    <xf numFmtId="164" fontId="6" fillId="4" borderId="1" pivotButton="0" quotePrefix="0" xfId="0"/>
    <xf numFmtId="164" fontId="6" fillId="0" borderId="1" pivotButton="0" quotePrefix="0" xfId="0"/>
    <xf numFmtId="164" fontId="2" fillId="5" borderId="1" pivotButton="0" quotePrefix="0" xfId="0"/>
    <xf numFmtId="164" fontId="2" fillId="6" borderId="1" pivotButton="0" quotePrefix="0" xfId="0"/>
    <xf numFmtId="164" fontId="9" fillId="2" borderId="1" pivotButton="0" quotePrefix="0" xfId="0"/>
    <xf numFmtId="164" fontId="9" fillId="0" borderId="1" pivotButton="0" quotePrefix="0" xfId="0"/>
  </cellXfs>
  <cellStyles count="1">
    <cellStyle name="標準" xfId="0" builtinId="0"/>
  </cellStyles>
  <dxfs count="5"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FC7CE"/>
        </patternFill>
      </fill>
    </dxf>
    <dxf>
      <font>
        <name val="游ゴシック"/>
        <b val="1"/>
        <color rgb="FFC00000"/>
      </font>
    </dxf>
    <dxf>
      <font>
        <name val="游ゴシック"/>
        <b val="1"/>
        <color rgb="FF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template</author>
    <author>Claude</author>
  </authors>
  <commentList>
    <comment ref="B4" authorId="0" shapeId="0">
      <text>
        <t>運転資金の目安（例：月商の1〜2か月分）を入力。</t>
      </text>
    </comment>
    <comment ref="B9" authorId="1" shapeId="0">
      <text>
        <t>出典：Google Drive「業績連動賞与/2025年分/10月」【営業回覧用】業績連動賞与_実績10 の合計行「入金実績」</t>
      </text>
    </comment>
    <comment ref="C9" authorId="1" shapeId="0">
      <text>
        <t>出典：Google Drive「業績連動賞与/2025年分/11月」【営業回覧用】業績連動賞与_実績11 の合計行「入金実績」</t>
      </text>
    </comment>
    <comment ref="D9" authorId="1" shapeId="0">
      <text>
        <t>出典：Google Drive「業績連動賞与/2025年分/12月」【営業回覧用】業績連動賞与_実績12 の合計行「入金実績」</t>
      </text>
    </comment>
    <comment ref="E9" authorId="1" shapeId="0">
      <text>
        <t>出典：Google Drive「業績連動賞与/2026年分/1月」【営業回覧用】業績連動賞与_実績1 の合計行「入金実績」</t>
      </text>
    </comment>
    <comment ref="F9" authorId="1" shapeId="0">
      <text>
        <t>出典：Google Drive「業績連動賞与/2026年分/2月」【営業回覧用】業績連動賞与_実績2 の合計行「入金実績」</t>
      </text>
    </comment>
    <comment ref="G9" authorId="1" shapeId="0">
      <text>
        <t>出典：Google Drive「業績連動賞与/2026年分/3月」【営業回覧用】業績連動賞与_実績3 の合計行「入金実績」</t>
      </text>
    </comment>
    <comment ref="H9" authorId="1" shapeId="0">
      <text>
        <t>出典：Google Drive「業績連動賞与/2026年分/4月」【営業回覧用】業績連動賞与_実績4 の合計行「入金実績」</t>
      </text>
    </comment>
    <comment ref="I9" authorId="1" shapeId="0">
      <text>
        <t>出典：Google Drive「業績連動賞与/2026年分/5月」【営業回覧用】業績連動賞与_実績5 の合計行「入金実績」</t>
      </text>
    </comment>
    <comment ref="J9" authorId="1" shapeId="0">
      <text>
        <t>出典：Google Drive「業績連動賞与/2026年分/6月」【営業回覧用】業績連動賞与_実績6 の合計行「入金実績」</t>
      </text>
    </comment>
    <comment ref="K9" authorId="1" shapeId="0">
      <text>
        <t>出典：Google Drive「業績連動賞与/2026年分/7月」【営業回覧用】業績連動賞与_実績7 の合計行「入金実績」</t>
      </text>
    </comment>
    <comment ref="L9" authorId="1" shapeId="0">
      <text>
        <t>出典：Google Drive「業績連動賞与/2026年分/8月」【営業回覧用】業績連動賞与_実績8 の合計行「入金実績」</t>
      </text>
    </comment>
    <comment ref="B47" authorId="0" shapeId="0">
      <text>
        <t>初月のみ手入力（期首の現預金残高）。2か月目以降は自動。</t>
      </text>
    </comment>
    <comment ref="B53" authorId="1" shapeId="0">
      <text>
        <t>初月の本来の納付額。以降は前月と同額が自動で入ります。保険料率・住民税額が変わる月だけ、そのセルに金額を上書きしてください。</t>
      </text>
    </comment>
    <comment ref="B57" authorId="1" shapeId="0">
      <text>
        <t>初月の本来の納付額。以降は前月と同額が自動で入ります。保険料率・住民税額が変わる月だけ、そのセルに金額を上書きしてください。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8"/>
  <sheetViews>
    <sheetView workbookViewId="0">
      <selection activeCell="A1" sqref="A1"/>
    </sheetView>
  </sheetViews>
  <sheetFormatPr baseColWidth="10" defaultColWidth="8.83203125" defaultRowHeight="14"/>
  <cols>
    <col width="3" customWidth="1" min="1" max="1"/>
    <col width="100" customWidth="1" min="2" max="2"/>
  </cols>
  <sheetData>
    <row r="1"/>
    <row r="2" ht="24" customHeight="1">
      <c r="B2" s="1" t="inlineStr">
        <is>
          <t>パターンA：月次資金繰り表（25か月）</t>
        </is>
      </c>
    </row>
    <row r="3"/>
    <row r="4" ht="17" customHeight="1">
      <c r="B4" s="2" t="inlineStr">
        <is>
          <t>■ 用途：最も一般的な形式。25か月間の資金の出入りを月単位で見通し、資金不足の月を事前に把握します。</t>
        </is>
      </c>
    </row>
    <row r="5" ht="17" customHeight="1">
      <c r="B5" s="2" t="inlineStr">
        <is>
          <t>■ 構成：「経常収支」「経常外収支」「財務収支」の三区分（中小企業・金融機関で標準的な形）。</t>
        </is>
      </c>
    </row>
    <row r="6" ht="17" customHeight="1">
      <c r="B6" s="2" t="inlineStr">
        <is>
          <t>■ 手順</t>
        </is>
      </c>
    </row>
    <row r="7" ht="17" customHeight="1">
      <c r="B7" s="3" t="inlineStr">
        <is>
          <t xml:space="preserve">  1. 「資金繰り表（月次）」シートの B3 に開始年月、B4 に最低必要残高を入力</t>
        </is>
      </c>
    </row>
    <row r="8" ht="17" customHeight="1">
      <c r="B8" s="3" t="inlineStr">
        <is>
          <t xml:space="preserve">  2. 下部の「前月繰越」行の B47（初月）に期首の現預金残高を入力</t>
        </is>
      </c>
    </row>
    <row r="9" ht="17" customHeight="1">
      <c r="B9" s="3" t="inlineStr">
        <is>
          <t xml:space="preserve">  3. 各月の黄色セルに、収入・支出の予定額を入力（2か月目以降の繰越は自動計算）</t>
        </is>
      </c>
    </row>
    <row r="10" ht="17" customHeight="1">
      <c r="B10" s="3" t="inlineStr">
        <is>
          <t xml:space="preserve">  5. 社会保険料は「法定福利費」、住民税は「住民税その他税」の行に実際に払った額を入力 → 下段の滞納管理に自動反映（本来の納付額は前月と同額を自動）</t>
        </is>
      </c>
    </row>
    <row r="11" ht="17" customHeight="1">
      <c r="B11" s="3" t="inlineStr">
        <is>
          <t xml:space="preserve">  ※営業収入＝業績連動賞与の集計ファイルの「入金実績」合計（2025年10月〜2026年8月は入力済み）</t>
        </is>
      </c>
    </row>
    <row r="12" ht="17" customHeight="1">
      <c r="B12" s="3" t="inlineStr">
        <is>
          <t xml:space="preserve">  4. 翌月繰越がマイナス／最低必要残高未満の月は赤表示 → 借入・支払条件の見直し等を検討</t>
        </is>
      </c>
    </row>
    <row r="13" ht="17" customHeight="1">
      <c r="B13" s="2" t="inlineStr">
        <is>
          <t>■ 未払金支払：経費の後払い分（カード払い・月末締め翌月払いの外注費・リース料など）の支払額を、実際に口座から出る月に入力します。</t>
        </is>
      </c>
    </row>
    <row r="14" ht="17" customHeight="1">
      <c r="B14" s="2" t="inlineStr">
        <is>
          <t>■ 科目名は自社に合わせて書き換えて構いません（A列）。行を挿入した場合は「計」の範囲を確認してください。</t>
        </is>
      </c>
    </row>
    <row r="15"/>
    <row r="16" ht="17" customHeight="1">
      <c r="B16" s="4" t="inlineStr">
        <is>
          <t>入力セル（黄色・青字）</t>
        </is>
      </c>
    </row>
    <row r="17" ht="17" customHeight="1">
      <c r="B17" s="5" t="inlineStr">
        <is>
          <t>計算式セル（白・黒字）＝触らない</t>
        </is>
      </c>
    </row>
    <row r="18" ht="17" customHeight="1">
      <c r="B18" s="6" t="inlineStr">
        <is>
          <t>残高が「最低必要残高」を下回ると赤く表示されます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69"/>
  <sheetViews>
    <sheetView tabSelected="1" workbookViewId="0">
      <pane xSplit="1" ySplit="7" topLeftCell="B8" activePane="bottomRight" state="frozen"/>
      <selection pane="topRight" activeCell="A1" sqref="A1"/>
      <selection pane="bottomLeft" activeCell="A1" sqref="A1"/>
      <selection pane="bottomRight" activeCell="H38" sqref="H38"/>
    </sheetView>
  </sheetViews>
  <sheetFormatPr baseColWidth="10" defaultColWidth="8.83203125" defaultRowHeight="14"/>
  <cols>
    <col width="34" customWidth="1" min="1" max="1"/>
    <col width="13" customWidth="1" min="2" max="27"/>
  </cols>
  <sheetData>
    <row r="1" ht="24" customHeight="1">
      <c r="A1" s="1" t="inlineStr">
        <is>
          <t>資金繰り表（月次・25か月）</t>
        </is>
      </c>
    </row>
    <row r="2" ht="17" customHeight="1">
      <c r="A2" s="7" t="inlineStr">
        <is>
          <t>会社名</t>
        </is>
      </c>
      <c r="B2" s="4" t="n"/>
    </row>
    <row r="3" ht="17" customHeight="1">
      <c r="A3" s="7" t="inlineStr">
        <is>
          <t>開始年月</t>
        </is>
      </c>
      <c r="B3" s="8" t="n">
        <v>45931</v>
      </c>
      <c r="D3" s="25">
        <f>SUM(B9:M9)</f>
        <v/>
      </c>
      <c r="E3">
        <f>D3/12</f>
        <v/>
      </c>
    </row>
    <row r="4" ht="17" customHeight="1">
      <c r="A4" s="7" t="inlineStr">
        <is>
          <t>最低必要残高（円）</t>
        </is>
      </c>
      <c r="B4" s="26" t="n"/>
    </row>
    <row r="5" ht="16" customHeight="1">
      <c r="A5" s="10" t="inlineStr">
        <is>
          <t>単位：円</t>
        </is>
      </c>
    </row>
    <row r="6"/>
    <row r="7" ht="18" customHeight="1">
      <c r="A7" s="11" t="inlineStr">
        <is>
          <t>科目</t>
        </is>
      </c>
      <c r="B7" s="12">
        <f>EDATE($B$3,0)</f>
        <v/>
      </c>
      <c r="C7" s="12">
        <f>EDATE($B$3,1)</f>
        <v/>
      </c>
      <c r="D7" s="12">
        <f>EDATE($B$3,2)</f>
        <v/>
      </c>
      <c r="E7" s="12">
        <f>EDATE($B$3,3)</f>
        <v/>
      </c>
      <c r="F7" s="12">
        <f>EDATE($B$3,4)</f>
        <v/>
      </c>
      <c r="G7" s="12">
        <f>EDATE($B$3,5)</f>
        <v/>
      </c>
      <c r="H7" s="12">
        <f>EDATE($B$3,6)</f>
        <v/>
      </c>
      <c r="I7" s="12">
        <f>EDATE($B$3,7)</f>
        <v/>
      </c>
      <c r="J7" s="12">
        <f>EDATE($B$3,8)</f>
        <v/>
      </c>
      <c r="K7" s="12">
        <f>EDATE($B$3,9)</f>
        <v/>
      </c>
      <c r="L7" s="12">
        <f>EDATE($B$3,10)</f>
        <v/>
      </c>
      <c r="M7" s="12">
        <f>EDATE($B$3,11)</f>
        <v/>
      </c>
      <c r="N7" s="12">
        <f>EDATE($B$3,12)</f>
        <v/>
      </c>
      <c r="O7" s="12">
        <f>EDATE($B$3,13)</f>
        <v/>
      </c>
      <c r="P7" s="12">
        <f>EDATE($B$3,14)</f>
        <v/>
      </c>
      <c r="Q7" s="12">
        <f>EDATE($B$3,15)</f>
        <v/>
      </c>
      <c r="R7" s="12">
        <f>EDATE($B$3,16)</f>
        <v/>
      </c>
      <c r="S7" s="12">
        <f>EDATE($B$3,17)</f>
        <v/>
      </c>
      <c r="T7" s="12">
        <f>EDATE($B$3,18)</f>
        <v/>
      </c>
      <c r="U7" s="12">
        <f>EDATE($B$3,19)</f>
        <v/>
      </c>
      <c r="V7" s="12">
        <f>EDATE($B$3,20)</f>
        <v/>
      </c>
      <c r="W7" s="12">
        <f>EDATE($B$3,21)</f>
        <v/>
      </c>
      <c r="X7" s="12">
        <f>EDATE($B$3,22)</f>
        <v/>
      </c>
      <c r="Y7" s="12">
        <f>EDATE($B$3,23)</f>
        <v/>
      </c>
      <c r="Z7" s="12">
        <f>EDATE($B$3,24)</f>
        <v/>
      </c>
      <c r="AA7" s="11" t="inlineStr">
        <is>
          <t>合計</t>
        </is>
      </c>
    </row>
    <row r="8" ht="17" customHeight="1">
      <c r="A8" s="13" t="inlineStr">
        <is>
          <t>経常収支</t>
        </is>
      </c>
      <c r="B8" s="27" t="n"/>
      <c r="C8" s="27" t="n"/>
      <c r="D8" s="27" t="n"/>
      <c r="E8" s="27" t="n"/>
      <c r="F8" s="27" t="n"/>
      <c r="G8" s="27" t="n"/>
      <c r="H8" s="27" t="n"/>
      <c r="I8" s="27" t="n"/>
      <c r="J8" s="27" t="n"/>
      <c r="K8" s="27" t="n"/>
      <c r="L8" s="27" t="n"/>
      <c r="M8" s="27" t="n"/>
      <c r="N8" s="27" t="n"/>
      <c r="O8" s="27" t="n"/>
      <c r="P8" s="27" t="n"/>
      <c r="Q8" s="27" t="n"/>
      <c r="R8" s="27" t="n"/>
      <c r="S8" s="27" t="n"/>
      <c r="T8" s="27" t="n"/>
      <c r="U8" s="27" t="n"/>
      <c r="V8" s="27" t="n"/>
      <c r="W8" s="27" t="n"/>
      <c r="X8" s="27" t="n"/>
      <c r="Y8" s="27" t="n"/>
      <c r="Z8" s="27" t="n"/>
      <c r="AA8" s="27" t="n"/>
    </row>
    <row r="9" ht="17" customHeight="1">
      <c r="A9" s="5" t="inlineStr">
        <is>
          <t xml:space="preserve">  収入｜営業収入</t>
        </is>
      </c>
      <c r="B9" s="26" t="n">
        <v>11571200</v>
      </c>
      <c r="C9" s="26" t="n">
        <v>12729500</v>
      </c>
      <c r="D9" s="26" t="n">
        <v>10817650</v>
      </c>
      <c r="E9" s="26" t="n">
        <v>7592596</v>
      </c>
      <c r="F9" s="26" t="n">
        <v>12008250</v>
      </c>
      <c r="G9" s="26" t="n">
        <v>14734304</v>
      </c>
      <c r="H9" s="26" t="n">
        <v>14492300</v>
      </c>
      <c r="I9" s="26" t="n">
        <v>9738050</v>
      </c>
      <c r="J9" s="26" t="n">
        <v>12227100</v>
      </c>
      <c r="K9" s="26" t="n">
        <v>7979350</v>
      </c>
      <c r="L9" s="26" t="n">
        <v>13590955</v>
      </c>
      <c r="M9" s="26" t="n">
        <v>9548770</v>
      </c>
      <c r="N9" s="26" t="n">
        <v>11000000</v>
      </c>
      <c r="O9" s="26" t="n">
        <v>11000000</v>
      </c>
      <c r="P9" s="26" t="n">
        <v>11000000</v>
      </c>
      <c r="Q9" s="26" t="n">
        <v>11000000</v>
      </c>
      <c r="R9" s="26" t="n">
        <v>11000000</v>
      </c>
      <c r="S9" s="26" t="n">
        <v>11000000</v>
      </c>
      <c r="T9" s="26" t="n">
        <v>11000000</v>
      </c>
      <c r="U9" s="26" t="n">
        <v>11000000</v>
      </c>
      <c r="V9" s="26" t="n">
        <v>11000000</v>
      </c>
      <c r="W9" s="26" t="n">
        <v>11000000</v>
      </c>
      <c r="X9" s="26" t="n">
        <v>11000000</v>
      </c>
      <c r="Y9" s="26" t="n">
        <v>11000000</v>
      </c>
      <c r="Z9" s="26" t="n">
        <v>11000000</v>
      </c>
      <c r="AA9" s="28">
        <f>SUM(B9:Z9)</f>
        <v/>
      </c>
    </row>
    <row r="10" ht="17" customHeight="1">
      <c r="A10" s="5" t="inlineStr">
        <is>
          <t xml:space="preserve">  収入｜案件収入</t>
        </is>
      </c>
      <c r="B10" s="26" t="n"/>
      <c r="C10" s="26" t="n"/>
      <c r="D10" s="26" t="n"/>
      <c r="E10" s="26" t="n"/>
      <c r="F10" s="26" t="n"/>
      <c r="G10" s="26" t="n"/>
      <c r="H10" s="26" t="n"/>
      <c r="I10" s="26" t="n"/>
      <c r="J10" s="26" t="n"/>
      <c r="K10" s="26" t="n"/>
      <c r="L10" s="26" t="n"/>
      <c r="M10" s="26" t="n"/>
      <c r="N10" s="26" t="n"/>
      <c r="O10" s="26" t="n"/>
      <c r="P10" s="26" t="n"/>
      <c r="Q10" s="26" t="n"/>
      <c r="R10" s="26" t="n"/>
      <c r="S10" s="26" t="n"/>
      <c r="T10" s="26" t="n"/>
      <c r="U10" s="26" t="n"/>
      <c r="V10" s="26" t="n"/>
      <c r="W10" s="26" t="n"/>
      <c r="X10" s="26" t="n"/>
      <c r="Y10" s="26" t="n"/>
      <c r="Z10" s="26" t="n"/>
      <c r="AA10" s="28">
        <f>SUM(B10:Z10)</f>
        <v/>
      </c>
    </row>
    <row r="11" ht="17" customHeight="1">
      <c r="A11" s="5" t="inlineStr">
        <is>
          <t xml:space="preserve">  収入｜</t>
        </is>
      </c>
      <c r="B11" s="26" t="n"/>
      <c r="C11" s="26" t="n"/>
      <c r="D11" s="26" t="n"/>
      <c r="E11" s="26" t="n"/>
      <c r="F11" s="26" t="n"/>
      <c r="G11" s="26" t="n"/>
      <c r="H11" s="26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6" t="n"/>
      <c r="U11" s="26" t="n"/>
      <c r="V11" s="26" t="n"/>
      <c r="W11" s="26" t="n"/>
      <c r="X11" s="26" t="n"/>
      <c r="Y11" s="26" t="n"/>
      <c r="Z11" s="26" t="n"/>
      <c r="AA11" s="28">
        <f>SUM(B11:Z11)</f>
        <v/>
      </c>
    </row>
    <row r="12" ht="17" customHeight="1">
      <c r="A12" s="5" t="inlineStr">
        <is>
          <t xml:space="preserve">  収入｜その他収入</t>
        </is>
      </c>
      <c r="B12" s="26" t="n"/>
      <c r="C12" s="26" t="n"/>
      <c r="D12" s="26" t="n"/>
      <c r="E12" s="26" t="n"/>
      <c r="F12" s="26" t="n"/>
      <c r="G12" s="26" t="n"/>
      <c r="H12" s="26" t="n"/>
      <c r="I12" s="26" t="n"/>
      <c r="J12" s="26" t="n"/>
      <c r="K12" s="26" t="n"/>
      <c r="L12" s="26" t="n"/>
      <c r="M12" s="26" t="n"/>
      <c r="N12" s="26" t="n"/>
      <c r="O12" s="26" t="n"/>
      <c r="P12" s="26" t="n"/>
      <c r="Q12" s="26" t="n"/>
      <c r="R12" s="26" t="n"/>
      <c r="S12" s="26" t="n"/>
      <c r="T12" s="26" t="n"/>
      <c r="U12" s="26" t="n"/>
      <c r="V12" s="26" t="n"/>
      <c r="W12" s="26" t="n"/>
      <c r="X12" s="26" t="n"/>
      <c r="Y12" s="26" t="n"/>
      <c r="Z12" s="26" t="n"/>
      <c r="AA12" s="28">
        <f>SUM(B12:Z12)</f>
        <v/>
      </c>
    </row>
    <row r="13" ht="17" customHeight="1">
      <c r="A13" s="16" t="inlineStr">
        <is>
          <t xml:space="preserve">  収入 計</t>
        </is>
      </c>
      <c r="B13" s="29">
        <f>SUM(B9:B12)</f>
        <v/>
      </c>
      <c r="C13" s="29">
        <f>SUM(C9:C12)</f>
        <v/>
      </c>
      <c r="D13" s="29">
        <f>SUM(D9:D12)</f>
        <v/>
      </c>
      <c r="E13" s="29">
        <f>SUM(E9:E12)</f>
        <v/>
      </c>
      <c r="F13" s="29">
        <f>SUM(F9:F12)</f>
        <v/>
      </c>
      <c r="G13" s="29">
        <f>SUM(G9:G12)</f>
        <v/>
      </c>
      <c r="H13" s="29">
        <f>SUM(H9:H12)</f>
        <v/>
      </c>
      <c r="I13" s="29">
        <f>SUM(I9:I12)</f>
        <v/>
      </c>
      <c r="J13" s="29">
        <f>SUM(J9:J12)</f>
        <v/>
      </c>
      <c r="K13" s="29">
        <f>SUM(K9:K12)</f>
        <v/>
      </c>
      <c r="L13" s="29">
        <f>SUM(L9:L12)</f>
        <v/>
      </c>
      <c r="M13" s="29">
        <f>SUM(M9:M12)</f>
        <v/>
      </c>
      <c r="N13" s="29">
        <f>SUM(N9:N12)</f>
        <v/>
      </c>
      <c r="O13" s="29">
        <f>SUM(O9:O12)</f>
        <v/>
      </c>
      <c r="P13" s="29">
        <f>SUM(P9:P12)</f>
        <v/>
      </c>
      <c r="Q13" s="29">
        <f>SUM(Q9:Q12)</f>
        <v/>
      </c>
      <c r="R13" s="29">
        <f>SUM(R9:R12)</f>
        <v/>
      </c>
      <c r="S13" s="29">
        <f>SUM(S9:S12)</f>
        <v/>
      </c>
      <c r="T13" s="29">
        <f>SUM(T9:T12)</f>
        <v/>
      </c>
      <c r="U13" s="29">
        <f>SUM(U9:U12)</f>
        <v/>
      </c>
      <c r="V13" s="29">
        <f>SUM(V9:V12)</f>
        <v/>
      </c>
      <c r="W13" s="29">
        <f>SUM(W9:W12)</f>
        <v/>
      </c>
      <c r="X13" s="29">
        <f>SUM(X9:X12)</f>
        <v/>
      </c>
      <c r="Y13" s="29">
        <f>SUM(Y9:Y12)</f>
        <v/>
      </c>
      <c r="Z13" s="29">
        <f>SUM(Z9:Z12)</f>
        <v/>
      </c>
      <c r="AA13" s="29">
        <f>SUM(AA9:AA12)</f>
        <v/>
      </c>
    </row>
    <row r="14" ht="17" customHeight="1">
      <c r="A14" s="5" t="inlineStr">
        <is>
          <t xml:space="preserve">  支出｜外注費支払</t>
        </is>
      </c>
      <c r="B14" s="26" t="n">
        <v>3000000</v>
      </c>
      <c r="C14" s="26" t="n">
        <v>3000000</v>
      </c>
      <c r="D14" s="26" t="n">
        <v>3000000</v>
      </c>
      <c r="E14" s="26" t="n">
        <v>3000000</v>
      </c>
      <c r="F14" s="26" t="n">
        <v>3000000</v>
      </c>
      <c r="G14" s="26" t="n">
        <v>3000000</v>
      </c>
      <c r="H14" s="26" t="n">
        <v>3000000</v>
      </c>
      <c r="I14" s="26" t="n">
        <v>3000000</v>
      </c>
      <c r="J14" s="26" t="n">
        <v>3000000</v>
      </c>
      <c r="K14" s="26" t="n">
        <v>3000000</v>
      </c>
      <c r="L14" s="26" t="n">
        <v>3000000</v>
      </c>
      <c r="M14" s="26" t="n">
        <v>3000000</v>
      </c>
      <c r="N14" s="26" t="n"/>
      <c r="O14" s="26" t="n"/>
      <c r="P14" s="26" t="n"/>
      <c r="Q14" s="26" t="n"/>
      <c r="R14" s="26" t="n"/>
      <c r="S14" s="26" t="n"/>
      <c r="T14" s="26" t="n"/>
      <c r="U14" s="26" t="n"/>
      <c r="V14" s="26" t="n"/>
      <c r="W14" s="26" t="n"/>
      <c r="X14" s="26" t="n"/>
      <c r="Y14" s="26" t="n"/>
      <c r="Z14" s="26" t="n"/>
      <c r="AA14" s="28">
        <f>SUM(B14:Z14)</f>
        <v/>
      </c>
    </row>
    <row r="15" ht="17" customHeight="1">
      <c r="A15" s="5" t="inlineStr">
        <is>
          <t xml:space="preserve">  支出｜買掛金支払</t>
        </is>
      </c>
      <c r="B15" s="26" t="n"/>
      <c r="C15" s="26" t="n"/>
      <c r="D15" s="26" t="n"/>
      <c r="E15" s="26" t="n"/>
      <c r="F15" s="26" t="n"/>
      <c r="G15" s="26" t="n"/>
      <c r="H15" s="26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6" t="n"/>
      <c r="U15" s="26" t="n"/>
      <c r="V15" s="26" t="n"/>
      <c r="W15" s="26" t="n"/>
      <c r="X15" s="26" t="n"/>
      <c r="Y15" s="26" t="n"/>
      <c r="Z15" s="26" t="n"/>
      <c r="AA15" s="28">
        <f>SUM(B15:Z15)</f>
        <v/>
      </c>
    </row>
    <row r="16" ht="17" customHeight="1">
      <c r="A16" s="5" t="inlineStr">
        <is>
          <t xml:space="preserve">  支出｜支払手形決済</t>
        </is>
      </c>
      <c r="B16" s="26" t="n"/>
      <c r="C16" s="26" t="n"/>
      <c r="D16" s="26" t="n"/>
      <c r="E16" s="26" t="n"/>
      <c r="F16" s="26" t="n"/>
      <c r="G16" s="26" t="n"/>
      <c r="H16" s="26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6" t="n"/>
      <c r="U16" s="26" t="n"/>
      <c r="V16" s="26" t="n"/>
      <c r="W16" s="26" t="n"/>
      <c r="X16" s="26" t="n"/>
      <c r="Y16" s="26" t="n"/>
      <c r="Z16" s="26" t="n"/>
      <c r="AA16" s="28">
        <f>SUM(B16:Z16)</f>
        <v/>
      </c>
    </row>
    <row r="17" ht="17" customHeight="1">
      <c r="A17" s="5" t="inlineStr">
        <is>
          <t xml:space="preserve">  支出｜未払金支払</t>
        </is>
      </c>
      <c r="B17" s="26" t="n"/>
      <c r="C17" s="26" t="n"/>
      <c r="D17" s="26" t="n"/>
      <c r="E17" s="26" t="n"/>
      <c r="F17" s="26" t="n"/>
      <c r="G17" s="26" t="n"/>
      <c r="H17" s="26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6" t="n"/>
      <c r="U17" s="26" t="n"/>
      <c r="V17" s="26" t="n"/>
      <c r="W17" s="26" t="n"/>
      <c r="X17" s="26" t="n"/>
      <c r="Y17" s="26" t="n"/>
      <c r="Z17" s="26" t="n"/>
      <c r="AA17" s="28">
        <f>SUM(B17:Z17)</f>
        <v/>
      </c>
    </row>
    <row r="18" ht="17" customHeight="1">
      <c r="A18" s="5" t="inlineStr">
        <is>
          <t xml:space="preserve">  支出｜人件費（給与・賞与）</t>
        </is>
      </c>
      <c r="B18" s="26" t="n">
        <v>4800000</v>
      </c>
      <c r="C18" s="26" t="n">
        <v>4800000</v>
      </c>
      <c r="D18" s="26" t="n">
        <v>4800000</v>
      </c>
      <c r="E18" s="26" t="n">
        <v>4800000</v>
      </c>
      <c r="F18" s="26" t="n">
        <v>5100000</v>
      </c>
      <c r="G18" s="26" t="n">
        <v>5100000</v>
      </c>
      <c r="H18" s="26" t="n">
        <v>5100000</v>
      </c>
      <c r="I18" s="26" t="n">
        <v>5100000</v>
      </c>
      <c r="J18" s="26" t="n">
        <v>5100000</v>
      </c>
      <c r="K18" s="26" t="n">
        <v>5500000</v>
      </c>
      <c r="L18" s="26" t="n">
        <v>5500000</v>
      </c>
      <c r="M18" s="26" t="n">
        <v>5500000</v>
      </c>
      <c r="N18" s="26" t="n">
        <v>5500000</v>
      </c>
      <c r="O18" s="26" t="n">
        <v>5500000</v>
      </c>
      <c r="P18" s="26" t="n">
        <v>5500000</v>
      </c>
      <c r="Q18" s="26" t="n">
        <v>5500000</v>
      </c>
      <c r="R18" s="26" t="n">
        <v>5500000</v>
      </c>
      <c r="S18" s="26" t="n">
        <v>5500000</v>
      </c>
      <c r="T18" s="26" t="n">
        <v>5500000</v>
      </c>
      <c r="U18" s="26" t="n">
        <v>5500000</v>
      </c>
      <c r="V18" s="26" t="n">
        <v>5500000</v>
      </c>
      <c r="W18" s="26" t="n">
        <v>5500000</v>
      </c>
      <c r="X18" s="26" t="n">
        <v>5500000</v>
      </c>
      <c r="Y18" s="26" t="n">
        <v>5500000</v>
      </c>
      <c r="Z18" s="26" t="n">
        <v>5500000</v>
      </c>
      <c r="AA18" s="28">
        <f>SUM(B18:Z18)</f>
        <v/>
      </c>
    </row>
    <row r="19" ht="17" customHeight="1">
      <c r="A19" s="5" t="inlineStr">
        <is>
          <t xml:space="preserve">  支出｜法定福利費</t>
        </is>
      </c>
      <c r="B19" s="26" t="n">
        <v>1550000</v>
      </c>
      <c r="C19" s="26" t="n">
        <v>1550000</v>
      </c>
      <c r="D19" s="26" t="n">
        <v>1550000</v>
      </c>
      <c r="E19" s="26" t="n">
        <v>1550000</v>
      </c>
      <c r="F19" s="26" t="n">
        <v>1650000</v>
      </c>
      <c r="G19" s="26" t="n">
        <v>1650000</v>
      </c>
      <c r="H19" s="26" t="n">
        <v>1650000</v>
      </c>
      <c r="I19" s="26" t="n">
        <v>1650000</v>
      </c>
      <c r="J19" s="26" t="n">
        <v>1650000</v>
      </c>
      <c r="K19" s="26" t="n">
        <v>1800000</v>
      </c>
      <c r="L19" s="26" t="n">
        <v>1850000</v>
      </c>
      <c r="M19" s="26" t="n">
        <v>1850000</v>
      </c>
      <c r="N19" s="26" t="n">
        <v>1850000</v>
      </c>
      <c r="O19" s="26" t="n">
        <v>1850000</v>
      </c>
      <c r="P19" s="26" t="n">
        <v>1850000</v>
      </c>
      <c r="Q19" s="26" t="n">
        <v>1850000</v>
      </c>
      <c r="R19" s="26" t="n">
        <v>1850000</v>
      </c>
      <c r="S19" s="26" t="n">
        <v>1850000</v>
      </c>
      <c r="T19" s="26" t="n">
        <v>1850000</v>
      </c>
      <c r="U19" s="26" t="n">
        <v>1850000</v>
      </c>
      <c r="V19" s="26" t="n">
        <v>1850000</v>
      </c>
      <c r="W19" s="26" t="n">
        <v>1850000</v>
      </c>
      <c r="X19" s="26" t="n">
        <v>1850000</v>
      </c>
      <c r="Y19" s="26" t="n">
        <v>1850000</v>
      </c>
      <c r="Z19" s="26" t="n">
        <v>1850000</v>
      </c>
      <c r="AA19" s="28">
        <f>SUM(B19:Z19)</f>
        <v/>
      </c>
    </row>
    <row r="20" ht="17" customHeight="1">
      <c r="A20" s="5" t="inlineStr">
        <is>
          <t xml:space="preserve">  支出｜住民税その他税</t>
        </is>
      </c>
      <c r="B20" s="26" t="n">
        <v>350000</v>
      </c>
      <c r="C20" s="26" t="n">
        <v>350000</v>
      </c>
      <c r="D20" s="26" t="n">
        <v>350000</v>
      </c>
      <c r="E20" s="26" t="n">
        <v>350000</v>
      </c>
      <c r="F20" s="26" t="n">
        <v>350000</v>
      </c>
      <c r="G20" s="26" t="n">
        <v>350000</v>
      </c>
      <c r="H20" s="26" t="n">
        <v>350000</v>
      </c>
      <c r="I20" s="26" t="n">
        <v>350000</v>
      </c>
      <c r="J20" s="26" t="n">
        <v>350000</v>
      </c>
      <c r="K20" s="26" t="n"/>
      <c r="L20" s="26" t="n"/>
      <c r="M20" s="26" t="n"/>
      <c r="N20" s="26" t="n"/>
      <c r="O20" s="26" t="n"/>
      <c r="P20" s="26" t="n"/>
      <c r="Q20" s="26" t="n"/>
      <c r="R20" s="26" t="n"/>
      <c r="S20" s="26" t="n"/>
      <c r="T20" s="26" t="n"/>
      <c r="U20" s="26" t="n"/>
      <c r="V20" s="26" t="n"/>
      <c r="W20" s="26" t="n"/>
      <c r="X20" s="26" t="n"/>
      <c r="Y20" s="26" t="n"/>
      <c r="Z20" s="26" t="n"/>
      <c r="AA20" s="28">
        <f>SUM(B20:Z20)</f>
        <v/>
      </c>
    </row>
    <row r="21" ht="17" customHeight="1">
      <c r="A21" s="5" t="inlineStr">
        <is>
          <t xml:space="preserve">  支出｜地代家賃</t>
        </is>
      </c>
      <c r="B21" s="26" t="n">
        <v>880000</v>
      </c>
      <c r="C21" s="26" t="n">
        <v>880000</v>
      </c>
      <c r="D21" s="26" t="n">
        <v>880000</v>
      </c>
      <c r="E21" s="26" t="n">
        <v>880000</v>
      </c>
      <c r="F21" s="26" t="n">
        <v>880000</v>
      </c>
      <c r="G21" s="26" t="n">
        <v>880000</v>
      </c>
      <c r="H21" s="26" t="n">
        <v>880000</v>
      </c>
      <c r="I21" s="26" t="n">
        <v>880000</v>
      </c>
      <c r="J21" s="26" t="n">
        <v>880000</v>
      </c>
      <c r="K21" s="26" t="n"/>
      <c r="L21" s="26" t="n"/>
      <c r="M21" s="26" t="n"/>
      <c r="N21" s="26" t="n"/>
      <c r="O21" s="26" t="n"/>
      <c r="P21" s="26" t="n"/>
      <c r="Q21" s="26" t="n"/>
      <c r="R21" s="26" t="n"/>
      <c r="S21" s="26" t="n"/>
      <c r="T21" s="26" t="n"/>
      <c r="U21" s="26" t="n"/>
      <c r="V21" s="26" t="n"/>
      <c r="W21" s="26" t="n"/>
      <c r="X21" s="26" t="n"/>
      <c r="Y21" s="26" t="n"/>
      <c r="Z21" s="26" t="n"/>
      <c r="AA21" s="28">
        <f>SUM(B21:Z21)</f>
        <v/>
      </c>
    </row>
    <row r="22" ht="17" customHeight="1">
      <c r="A22" s="5" t="inlineStr">
        <is>
          <t xml:space="preserve">  支出｜水道光熱費・通信費</t>
        </is>
      </c>
      <c r="B22" s="26" t="n">
        <v>110000</v>
      </c>
      <c r="C22" s="26" t="n">
        <v>110000</v>
      </c>
      <c r="D22" s="26" t="n">
        <v>110000</v>
      </c>
      <c r="E22" s="26" t="n">
        <v>110000</v>
      </c>
      <c r="F22" s="26" t="n">
        <v>110000</v>
      </c>
      <c r="G22" s="26" t="n">
        <v>110000</v>
      </c>
      <c r="H22" s="26" t="n">
        <v>110000</v>
      </c>
      <c r="I22" s="26" t="n">
        <v>110000</v>
      </c>
      <c r="J22" s="26" t="n">
        <v>110000</v>
      </c>
      <c r="K22" s="26" t="n">
        <v>220000</v>
      </c>
      <c r="L22" s="26" t="n">
        <v>220000</v>
      </c>
      <c r="M22" s="26" t="n">
        <v>220000</v>
      </c>
      <c r="N22" s="26" t="n"/>
      <c r="O22" s="26" t="n"/>
      <c r="P22" s="26" t="n"/>
      <c r="Q22" s="26" t="n"/>
      <c r="R22" s="26" t="n"/>
      <c r="S22" s="26" t="n"/>
      <c r="T22" s="26" t="n"/>
      <c r="U22" s="26" t="n"/>
      <c r="V22" s="26" t="n"/>
      <c r="W22" s="26" t="n"/>
      <c r="X22" s="26" t="n"/>
      <c r="Y22" s="26" t="n"/>
      <c r="Z22" s="26" t="n"/>
      <c r="AA22" s="28">
        <f>SUM(B22:Z22)</f>
        <v/>
      </c>
    </row>
    <row r="23" ht="17" customHeight="1">
      <c r="A23" s="5" t="inlineStr">
        <is>
          <t xml:space="preserve">  支出｜その他販売管理費</t>
        </is>
      </c>
      <c r="B23" s="26" t="n">
        <v>800000</v>
      </c>
      <c r="C23" s="26" t="n">
        <v>800000</v>
      </c>
      <c r="D23" s="26" t="n">
        <v>800000</v>
      </c>
      <c r="E23" s="26" t="n">
        <v>800000</v>
      </c>
      <c r="F23" s="26" t="n">
        <v>800000</v>
      </c>
      <c r="G23" s="26" t="n">
        <v>800000</v>
      </c>
      <c r="H23" s="26" t="n">
        <v>800000</v>
      </c>
      <c r="I23" s="26" t="n">
        <v>800000</v>
      </c>
      <c r="J23" s="26" t="n">
        <v>800000</v>
      </c>
      <c r="K23" s="26" t="n">
        <v>800000</v>
      </c>
      <c r="L23" s="26" t="n">
        <v>800000</v>
      </c>
      <c r="M23" s="26" t="n">
        <v>800000</v>
      </c>
      <c r="N23" s="26" t="n"/>
      <c r="O23" s="26" t="n"/>
      <c r="P23" s="26" t="n"/>
      <c r="Q23" s="26" t="n"/>
      <c r="R23" s="26" t="n"/>
      <c r="S23" s="26" t="n"/>
      <c r="T23" s="26" t="n"/>
      <c r="U23" s="26" t="n"/>
      <c r="V23" s="26" t="n"/>
      <c r="W23" s="26" t="n"/>
      <c r="X23" s="26" t="n"/>
      <c r="Y23" s="26" t="n"/>
      <c r="Z23" s="26" t="n"/>
      <c r="AA23" s="28">
        <f>SUM(B23:Z23)</f>
        <v/>
      </c>
    </row>
    <row r="24" ht="17" customHeight="1">
      <c r="A24" s="5" t="inlineStr">
        <is>
          <t xml:space="preserve">  支出｜支払利息・割引料</t>
        </is>
      </c>
      <c r="B24" s="26" t="n"/>
      <c r="C24" s="26" t="n"/>
      <c r="D24" s="26" t="n"/>
      <c r="E24" s="26" t="n"/>
      <c r="F24" s="26" t="n"/>
      <c r="G24" s="26" t="n"/>
      <c r="H24" s="26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6" t="n"/>
      <c r="U24" s="26" t="n"/>
      <c r="V24" s="26" t="n"/>
      <c r="W24" s="26" t="n"/>
      <c r="X24" s="26" t="n"/>
      <c r="Y24" s="26" t="n"/>
      <c r="Z24" s="26" t="n"/>
      <c r="AA24" s="28">
        <f>SUM(B24:Z24)</f>
        <v/>
      </c>
    </row>
    <row r="25" ht="17" customHeight="1">
      <c r="A25" s="16" t="inlineStr">
        <is>
          <t xml:space="preserve">  支出 計</t>
        </is>
      </c>
      <c r="B25" s="29">
        <f>SUM(B14:B24)</f>
        <v/>
      </c>
      <c r="C25" s="29">
        <f>SUM(C14:C24)</f>
        <v/>
      </c>
      <c r="D25" s="29">
        <f>SUM(D14:D24)</f>
        <v/>
      </c>
      <c r="E25" s="29">
        <f>SUM(E14:E24)</f>
        <v/>
      </c>
      <c r="F25" s="29">
        <f>SUM(F14:F24)</f>
        <v/>
      </c>
      <c r="G25" s="29">
        <f>SUM(G14:G24)</f>
        <v/>
      </c>
      <c r="H25" s="29">
        <f>SUM(H14:H24)</f>
        <v/>
      </c>
      <c r="I25" s="29">
        <f>SUM(I14:I24)</f>
        <v/>
      </c>
      <c r="J25" s="29">
        <f>SUM(J14:J24)</f>
        <v/>
      </c>
      <c r="K25" s="29">
        <f>SUM(K14:K24)</f>
        <v/>
      </c>
      <c r="L25" s="29">
        <f>SUM(L14:L24)</f>
        <v/>
      </c>
      <c r="M25" s="29">
        <f>SUM(M14:M24)</f>
        <v/>
      </c>
      <c r="N25" s="29">
        <f>SUM(N14:N24)</f>
        <v/>
      </c>
      <c r="O25" s="29">
        <f>SUM(O14:O24)</f>
        <v/>
      </c>
      <c r="P25" s="29">
        <f>SUM(P14:P24)</f>
        <v/>
      </c>
      <c r="Q25" s="29">
        <f>SUM(Q14:Q24)</f>
        <v/>
      </c>
      <c r="R25" s="29">
        <f>SUM(R14:R24)</f>
        <v/>
      </c>
      <c r="S25" s="29">
        <f>SUM(S14:S24)</f>
        <v/>
      </c>
      <c r="T25" s="29">
        <f>SUM(T14:T24)</f>
        <v/>
      </c>
      <c r="U25" s="29">
        <f>SUM(U14:U24)</f>
        <v/>
      </c>
      <c r="V25" s="29">
        <f>SUM(V14:V24)</f>
        <v/>
      </c>
      <c r="W25" s="29">
        <f>SUM(W14:W24)</f>
        <v/>
      </c>
      <c r="X25" s="29">
        <f>SUM(X14:X24)</f>
        <v/>
      </c>
      <c r="Y25" s="29">
        <f>SUM(Y14:Y24)</f>
        <v/>
      </c>
      <c r="Z25" s="29">
        <f>SUM(Z14:Z24)</f>
        <v/>
      </c>
      <c r="AA25" s="29">
        <f>SUM(AA14:AA24)</f>
        <v/>
      </c>
    </row>
    <row r="26" ht="17" customHeight="1">
      <c r="A26" s="18" t="inlineStr">
        <is>
          <t>経常収支 差額（収入－支出）</t>
        </is>
      </c>
      <c r="B26" s="30">
        <f>B13-B25</f>
        <v/>
      </c>
      <c r="C26" s="30">
        <f>C13-C25</f>
        <v/>
      </c>
      <c r="D26" s="30">
        <f>D13-D25</f>
        <v/>
      </c>
      <c r="E26" s="30">
        <f>E13-E25</f>
        <v/>
      </c>
      <c r="F26" s="30">
        <f>F13-F25</f>
        <v/>
      </c>
      <c r="G26" s="30">
        <f>G13-G25</f>
        <v/>
      </c>
      <c r="H26" s="30">
        <f>H13-H25</f>
        <v/>
      </c>
      <c r="I26" s="30">
        <f>I13-I25</f>
        <v/>
      </c>
      <c r="J26" s="30">
        <f>J13-J25</f>
        <v/>
      </c>
      <c r="K26" s="30">
        <f>K13-K25</f>
        <v/>
      </c>
      <c r="L26" s="30">
        <f>L13-L25</f>
        <v/>
      </c>
      <c r="M26" s="30">
        <f>M13-M25</f>
        <v/>
      </c>
      <c r="N26" s="30">
        <f>N13-N25</f>
        <v/>
      </c>
      <c r="O26" s="30">
        <f>O13-O25</f>
        <v/>
      </c>
      <c r="P26" s="30">
        <f>P13-P25</f>
        <v/>
      </c>
      <c r="Q26" s="30">
        <f>Q13-Q25</f>
        <v/>
      </c>
      <c r="R26" s="30">
        <f>R13-R25</f>
        <v/>
      </c>
      <c r="S26" s="30">
        <f>S13-S25</f>
        <v/>
      </c>
      <c r="T26" s="30">
        <f>T13-T25</f>
        <v/>
      </c>
      <c r="U26" s="30">
        <f>U13-U25</f>
        <v/>
      </c>
      <c r="V26" s="30">
        <f>V13-V25</f>
        <v/>
      </c>
      <c r="W26" s="30">
        <f>W13-W25</f>
        <v/>
      </c>
      <c r="X26" s="30">
        <f>X13-X25</f>
        <v/>
      </c>
      <c r="Y26" s="30">
        <f>Y13-Y25</f>
        <v/>
      </c>
      <c r="Z26" s="30">
        <f>Z13-Z25</f>
        <v/>
      </c>
      <c r="AA26" s="30">
        <f>AA13-AA25</f>
        <v/>
      </c>
    </row>
    <row r="27" ht="17" customHeight="1">
      <c r="A27" s="13" t="inlineStr">
        <is>
          <t>経常外収支</t>
        </is>
      </c>
      <c r="B27" s="27" t="n"/>
      <c r="C27" s="27" t="n"/>
      <c r="D27" s="27" t="n"/>
      <c r="E27" s="27" t="n"/>
      <c r="F27" s="27" t="n"/>
      <c r="G27" s="27" t="n"/>
      <c r="H27" s="27" t="n"/>
      <c r="I27" s="27" t="n"/>
      <c r="J27" s="27" t="n"/>
      <c r="K27" s="27" t="n"/>
      <c r="L27" s="27" t="n"/>
      <c r="M27" s="27" t="n"/>
      <c r="N27" s="27" t="n"/>
      <c r="O27" s="27" t="n"/>
      <c r="P27" s="27" t="n"/>
      <c r="Q27" s="27" t="n"/>
      <c r="R27" s="27" t="n"/>
      <c r="S27" s="27" t="n"/>
      <c r="T27" s="27" t="n"/>
      <c r="U27" s="27" t="n"/>
      <c r="V27" s="27" t="n"/>
      <c r="W27" s="27" t="n"/>
      <c r="X27" s="27" t="n"/>
      <c r="Y27" s="27" t="n"/>
      <c r="Z27" s="27" t="n"/>
      <c r="AA27" s="27" t="n"/>
    </row>
    <row r="28" ht="17" customHeight="1">
      <c r="A28" s="5" t="inlineStr">
        <is>
          <t xml:space="preserve">  収入｜固定資産売却収入</t>
        </is>
      </c>
      <c r="B28" s="26" t="n"/>
      <c r="C28" s="26" t="n"/>
      <c r="D28" s="26" t="n"/>
      <c r="E28" s="26" t="n"/>
      <c r="F28" s="26" t="n"/>
      <c r="G28" s="26" t="n"/>
      <c r="H28" s="26" t="n"/>
      <c r="I28" s="26" t="n"/>
      <c r="J28" s="26" t="n"/>
      <c r="K28" s="26" t="n"/>
      <c r="L28" s="26" t="n"/>
      <c r="M28" s="26" t="n"/>
      <c r="N28" s="26" t="n"/>
      <c r="O28" s="26" t="n"/>
      <c r="P28" s="26" t="n"/>
      <c r="Q28" s="26" t="n"/>
      <c r="R28" s="26" t="n"/>
      <c r="S28" s="26" t="n"/>
      <c r="T28" s="26" t="n"/>
      <c r="U28" s="26" t="n"/>
      <c r="V28" s="26" t="n"/>
      <c r="W28" s="26" t="n"/>
      <c r="X28" s="26" t="n"/>
      <c r="Y28" s="26" t="n"/>
      <c r="Z28" s="26" t="n"/>
      <c r="AA28" s="28">
        <f>SUM(B28:Z28)</f>
        <v/>
      </c>
    </row>
    <row r="29" ht="17" customHeight="1">
      <c r="A29" s="5" t="inlineStr">
        <is>
          <t xml:space="preserve">  収入｜保険金・補助金等</t>
        </is>
      </c>
      <c r="B29" s="26" t="n"/>
      <c r="C29" s="26" t="n"/>
      <c r="D29" s="26" t="n"/>
      <c r="E29" s="26" t="n"/>
      <c r="F29" s="26" t="n"/>
      <c r="G29" s="26" t="n"/>
      <c r="H29" s="26" t="n"/>
      <c r="I29" s="26" t="n"/>
      <c r="J29" s="26" t="n"/>
      <c r="K29" s="26" t="n"/>
      <c r="L29" s="26" t="n"/>
      <c r="M29" s="26" t="n"/>
      <c r="N29" s="26" t="n"/>
      <c r="O29" s="26" t="n"/>
      <c r="P29" s="26" t="n"/>
      <c r="Q29" s="26" t="n"/>
      <c r="R29" s="26" t="n"/>
      <c r="S29" s="26" t="n"/>
      <c r="T29" s="26" t="n"/>
      <c r="U29" s="26" t="n"/>
      <c r="V29" s="26" t="n"/>
      <c r="W29" s="26" t="n"/>
      <c r="X29" s="26" t="n"/>
      <c r="Y29" s="26" t="n"/>
      <c r="Z29" s="26" t="n"/>
      <c r="AA29" s="28">
        <f>SUM(B29:Z29)</f>
        <v/>
      </c>
    </row>
    <row r="30" ht="17" customHeight="1">
      <c r="A30" s="5" t="inlineStr">
        <is>
          <t xml:space="preserve">  収入｜その他</t>
        </is>
      </c>
      <c r="B30" s="26" t="n"/>
      <c r="C30" s="26" t="n"/>
      <c r="D30" s="26" t="n"/>
      <c r="E30" s="26" t="n"/>
      <c r="F30" s="26" t="n"/>
      <c r="G30" s="26" t="n"/>
      <c r="H30" s="26" t="n"/>
      <c r="I30" s="26" t="n"/>
      <c r="J30" s="26" t="n"/>
      <c r="K30" s="26" t="n"/>
      <c r="L30" s="26" t="n"/>
      <c r="M30" s="26" t="n"/>
      <c r="N30" s="26" t="n"/>
      <c r="O30" s="26" t="n"/>
      <c r="P30" s="26" t="n"/>
      <c r="Q30" s="26" t="n"/>
      <c r="R30" s="26" t="n"/>
      <c r="S30" s="26" t="n"/>
      <c r="T30" s="26" t="n"/>
      <c r="U30" s="26" t="n"/>
      <c r="V30" s="26" t="n"/>
      <c r="W30" s="26" t="n"/>
      <c r="X30" s="26" t="n"/>
      <c r="Y30" s="26" t="n"/>
      <c r="Z30" s="26" t="n"/>
      <c r="AA30" s="28">
        <f>SUM(B30:Z30)</f>
        <v/>
      </c>
    </row>
    <row r="31" ht="17" customHeight="1">
      <c r="A31" s="16" t="inlineStr">
        <is>
          <t xml:space="preserve">  収入 計</t>
        </is>
      </c>
      <c r="B31" s="29">
        <f>SUM(B28:B30)</f>
        <v/>
      </c>
      <c r="C31" s="29">
        <f>SUM(C28:C30)</f>
        <v/>
      </c>
      <c r="D31" s="29">
        <f>SUM(D28:D30)</f>
        <v/>
      </c>
      <c r="E31" s="29">
        <f>SUM(E28:E30)</f>
        <v/>
      </c>
      <c r="F31" s="29">
        <f>SUM(F28:F30)</f>
        <v/>
      </c>
      <c r="G31" s="29">
        <f>SUM(G28:G30)</f>
        <v/>
      </c>
      <c r="H31" s="29">
        <f>SUM(H28:H30)</f>
        <v/>
      </c>
      <c r="I31" s="29">
        <f>SUM(I28:I30)</f>
        <v/>
      </c>
      <c r="J31" s="29">
        <f>SUM(J28:J30)</f>
        <v/>
      </c>
      <c r="K31" s="29">
        <f>SUM(K28:K30)</f>
        <v/>
      </c>
      <c r="L31" s="29">
        <f>SUM(L28:L30)</f>
        <v/>
      </c>
      <c r="M31" s="29">
        <f>SUM(M28:M30)</f>
        <v/>
      </c>
      <c r="N31" s="29">
        <f>SUM(N28:N30)</f>
        <v/>
      </c>
      <c r="O31" s="29">
        <f>SUM(O28:O30)</f>
        <v/>
      </c>
      <c r="P31" s="29">
        <f>SUM(P28:P30)</f>
        <v/>
      </c>
      <c r="Q31" s="29">
        <f>SUM(Q28:Q30)</f>
        <v/>
      </c>
      <c r="R31" s="29">
        <f>SUM(R28:R30)</f>
        <v/>
      </c>
      <c r="S31" s="29">
        <f>SUM(S28:S30)</f>
        <v/>
      </c>
      <c r="T31" s="29">
        <f>SUM(T28:T30)</f>
        <v/>
      </c>
      <c r="U31" s="29">
        <f>SUM(U28:U30)</f>
        <v/>
      </c>
      <c r="V31" s="29">
        <f>SUM(V28:V30)</f>
        <v/>
      </c>
      <c r="W31" s="29">
        <f>SUM(W28:W30)</f>
        <v/>
      </c>
      <c r="X31" s="29">
        <f>SUM(X28:X30)</f>
        <v/>
      </c>
      <c r="Y31" s="29">
        <f>SUM(Y28:Y30)</f>
        <v/>
      </c>
      <c r="Z31" s="29">
        <f>SUM(Z28:Z30)</f>
        <v/>
      </c>
      <c r="AA31" s="29">
        <f>SUM(AA28:AA30)</f>
        <v/>
      </c>
    </row>
    <row r="32" ht="17" customHeight="1">
      <c r="A32" s="5" t="inlineStr">
        <is>
          <t xml:space="preserve">  支出｜設備投資（固定資産購入）</t>
        </is>
      </c>
      <c r="B32" s="26" t="n"/>
      <c r="C32" s="26" t="n"/>
      <c r="D32" s="26" t="n"/>
      <c r="E32" s="26" t="n"/>
      <c r="F32" s="26" t="n"/>
      <c r="G32" s="26" t="n"/>
      <c r="H32" s="26" t="n"/>
      <c r="I32" s="26" t="n"/>
      <c r="J32" s="26" t="n"/>
      <c r="K32" s="26" t="n"/>
      <c r="L32" s="26" t="n"/>
      <c r="M32" s="26" t="n"/>
      <c r="N32" s="26" t="n"/>
      <c r="O32" s="26" t="n"/>
      <c r="P32" s="26" t="n"/>
      <c r="Q32" s="26" t="n"/>
      <c r="R32" s="26" t="n"/>
      <c r="S32" s="26" t="n"/>
      <c r="T32" s="26" t="n"/>
      <c r="U32" s="26" t="n"/>
      <c r="V32" s="26" t="n"/>
      <c r="W32" s="26" t="n"/>
      <c r="X32" s="26" t="n"/>
      <c r="Y32" s="26" t="n"/>
      <c r="Z32" s="26" t="n"/>
      <c r="AA32" s="28">
        <f>SUM(B32:Z32)</f>
        <v/>
      </c>
    </row>
    <row r="33" ht="17" customHeight="1">
      <c r="A33" s="5" t="inlineStr">
        <is>
          <t xml:space="preserve">  支出｜法人税・消費税等納付</t>
        </is>
      </c>
      <c r="B33" s="26" t="n"/>
      <c r="C33" s="26" t="n"/>
      <c r="D33" s="26" t="n"/>
      <c r="E33" s="26" t="n"/>
      <c r="F33" s="26" t="n"/>
      <c r="G33" s="26" t="n"/>
      <c r="H33" s="26" t="n"/>
      <c r="I33" s="26" t="n"/>
      <c r="J33" s="26" t="n"/>
      <c r="K33" s="26" t="n"/>
      <c r="L33" s="26" t="n"/>
      <c r="M33" s="26" t="n"/>
      <c r="N33" s="26" t="n"/>
      <c r="O33" s="26" t="n"/>
      <c r="P33" s="26" t="n"/>
      <c r="Q33" s="26" t="n"/>
      <c r="R33" s="26" t="n"/>
      <c r="S33" s="26" t="n"/>
      <c r="T33" s="26" t="n"/>
      <c r="U33" s="26" t="n"/>
      <c r="V33" s="26" t="n"/>
      <c r="W33" s="26" t="n"/>
      <c r="X33" s="26" t="n"/>
      <c r="Y33" s="26" t="n"/>
      <c r="Z33" s="26" t="n"/>
      <c r="AA33" s="28">
        <f>SUM(B33:Z33)</f>
        <v/>
      </c>
    </row>
    <row r="34" ht="17" customHeight="1">
      <c r="A34" s="5" t="inlineStr">
        <is>
          <t xml:space="preserve">  支出｜その他</t>
        </is>
      </c>
      <c r="B34" s="26" t="n"/>
      <c r="C34" s="26" t="n"/>
      <c r="D34" s="26" t="n"/>
      <c r="E34" s="26" t="n"/>
      <c r="F34" s="26" t="n"/>
      <c r="G34" s="26" t="n"/>
      <c r="H34" s="26" t="n"/>
      <c r="I34" s="26" t="n"/>
      <c r="J34" s="26" t="n"/>
      <c r="K34" s="26" t="n"/>
      <c r="L34" s="26" t="n"/>
      <c r="M34" s="26" t="n"/>
      <c r="N34" s="26" t="n"/>
      <c r="O34" s="26" t="n"/>
      <c r="P34" s="26" t="n"/>
      <c r="Q34" s="26" t="n"/>
      <c r="R34" s="26" t="n"/>
      <c r="S34" s="26" t="n"/>
      <c r="T34" s="26" t="n"/>
      <c r="U34" s="26" t="n"/>
      <c r="V34" s="26" t="n"/>
      <c r="W34" s="26" t="n"/>
      <c r="X34" s="26" t="n"/>
      <c r="Y34" s="26" t="n"/>
      <c r="Z34" s="26" t="n"/>
      <c r="AA34" s="28">
        <f>SUM(B34:Z34)</f>
        <v/>
      </c>
    </row>
    <row r="35" ht="17" customHeight="1">
      <c r="A35" s="16" t="inlineStr">
        <is>
          <t xml:space="preserve">  支出 計</t>
        </is>
      </c>
      <c r="B35" s="29">
        <f>SUM(B32:B34)</f>
        <v/>
      </c>
      <c r="C35" s="29">
        <f>SUM(C32:C34)</f>
        <v/>
      </c>
      <c r="D35" s="29">
        <f>SUM(D32:D34)</f>
        <v/>
      </c>
      <c r="E35" s="29">
        <f>SUM(E32:E34)</f>
        <v/>
      </c>
      <c r="F35" s="29">
        <f>SUM(F32:F34)</f>
        <v/>
      </c>
      <c r="G35" s="29">
        <f>SUM(G32:G34)</f>
        <v/>
      </c>
      <c r="H35" s="29">
        <f>SUM(H32:H34)</f>
        <v/>
      </c>
      <c r="I35" s="29">
        <f>SUM(I32:I34)</f>
        <v/>
      </c>
      <c r="J35" s="29">
        <f>SUM(J32:J34)</f>
        <v/>
      </c>
      <c r="K35" s="29">
        <f>SUM(K32:K34)</f>
        <v/>
      </c>
      <c r="L35" s="29">
        <f>SUM(L32:L34)</f>
        <v/>
      </c>
      <c r="M35" s="29">
        <f>SUM(M32:M34)</f>
        <v/>
      </c>
      <c r="N35" s="29">
        <f>SUM(N32:N34)</f>
        <v/>
      </c>
      <c r="O35" s="29">
        <f>SUM(O32:O34)</f>
        <v/>
      </c>
      <c r="P35" s="29">
        <f>SUM(P32:P34)</f>
        <v/>
      </c>
      <c r="Q35" s="29">
        <f>SUM(Q32:Q34)</f>
        <v/>
      </c>
      <c r="R35" s="29">
        <f>SUM(R32:R34)</f>
        <v/>
      </c>
      <c r="S35" s="29">
        <f>SUM(S32:S34)</f>
        <v/>
      </c>
      <c r="T35" s="29">
        <f>SUM(T32:T34)</f>
        <v/>
      </c>
      <c r="U35" s="29">
        <f>SUM(U32:U34)</f>
        <v/>
      </c>
      <c r="V35" s="29">
        <f>SUM(V32:V34)</f>
        <v/>
      </c>
      <c r="W35" s="29">
        <f>SUM(W32:W34)</f>
        <v/>
      </c>
      <c r="X35" s="29">
        <f>SUM(X32:X34)</f>
        <v/>
      </c>
      <c r="Y35" s="29">
        <f>SUM(Y32:Y34)</f>
        <v/>
      </c>
      <c r="Z35" s="29">
        <f>SUM(Z32:Z34)</f>
        <v/>
      </c>
      <c r="AA35" s="29">
        <f>SUM(AA32:AA34)</f>
        <v/>
      </c>
    </row>
    <row r="36" ht="17" customHeight="1">
      <c r="A36" s="18" t="inlineStr">
        <is>
          <t>経常外収支 差額（収入－支出）</t>
        </is>
      </c>
      <c r="B36" s="30">
        <f>B31-B35</f>
        <v/>
      </c>
      <c r="C36" s="30">
        <f>C31-C35</f>
        <v/>
      </c>
      <c r="D36" s="30">
        <f>D31-D35</f>
        <v/>
      </c>
      <c r="E36" s="30">
        <f>E31-E35</f>
        <v/>
      </c>
      <c r="F36" s="30">
        <f>F31-F35</f>
        <v/>
      </c>
      <c r="G36" s="30">
        <f>G31-G35</f>
        <v/>
      </c>
      <c r="H36" s="30">
        <f>H31-H35</f>
        <v/>
      </c>
      <c r="I36" s="30">
        <f>I31-I35</f>
        <v/>
      </c>
      <c r="J36" s="30">
        <f>J31-J35</f>
        <v/>
      </c>
      <c r="K36" s="30">
        <f>K31-K35</f>
        <v/>
      </c>
      <c r="L36" s="30">
        <f>L31-L35</f>
        <v/>
      </c>
      <c r="M36" s="30">
        <f>M31-M35</f>
        <v/>
      </c>
      <c r="N36" s="30">
        <f>N31-N35</f>
        <v/>
      </c>
      <c r="O36" s="30">
        <f>O31-O35</f>
        <v/>
      </c>
      <c r="P36" s="30">
        <f>P31-P35</f>
        <v/>
      </c>
      <c r="Q36" s="30">
        <f>Q31-Q35</f>
        <v/>
      </c>
      <c r="R36" s="30">
        <f>R31-R35</f>
        <v/>
      </c>
      <c r="S36" s="30">
        <f>S31-S35</f>
        <v/>
      </c>
      <c r="T36" s="30">
        <f>T31-T35</f>
        <v/>
      </c>
      <c r="U36" s="30">
        <f>U31-U35</f>
        <v/>
      </c>
      <c r="V36" s="30">
        <f>V31-V35</f>
        <v/>
      </c>
      <c r="W36" s="30">
        <f>W31-W35</f>
        <v/>
      </c>
      <c r="X36" s="30">
        <f>X31-X35</f>
        <v/>
      </c>
      <c r="Y36" s="30">
        <f>Y31-Y35</f>
        <v/>
      </c>
      <c r="Z36" s="30">
        <f>Z31-Z35</f>
        <v/>
      </c>
      <c r="AA36" s="30">
        <f>AA31-AA35</f>
        <v/>
      </c>
    </row>
    <row r="37" ht="17" customHeight="1">
      <c r="A37" s="13" t="inlineStr">
        <is>
          <t>財務収支</t>
        </is>
      </c>
      <c r="B37" s="27" t="n"/>
      <c r="C37" s="27" t="n"/>
      <c r="D37" s="27" t="n"/>
      <c r="E37" s="27" t="n"/>
      <c r="F37" s="27" t="n"/>
      <c r="G37" s="27" t="n"/>
      <c r="H37" s="27" t="n"/>
      <c r="I37" s="27" t="n"/>
      <c r="J37" s="27" t="n"/>
      <c r="K37" s="27" t="n"/>
      <c r="L37" s="27" t="n"/>
      <c r="M37" s="27" t="n"/>
      <c r="N37" s="27" t="n"/>
      <c r="O37" s="27" t="n"/>
      <c r="P37" s="27" t="n"/>
      <c r="Q37" s="27" t="n"/>
      <c r="R37" s="27" t="n"/>
      <c r="S37" s="27" t="n"/>
      <c r="T37" s="27" t="n"/>
      <c r="U37" s="27" t="n"/>
      <c r="V37" s="27" t="n"/>
      <c r="W37" s="27" t="n"/>
      <c r="X37" s="27" t="n"/>
      <c r="Y37" s="27" t="n"/>
      <c r="Z37" s="27" t="n"/>
      <c r="AA37" s="27" t="n"/>
    </row>
    <row r="38" ht="17" customHeight="1">
      <c r="A38" s="5" t="inlineStr">
        <is>
          <t xml:space="preserve">  収入｜借入金</t>
        </is>
      </c>
      <c r="B38" s="26" t="n"/>
      <c r="C38" s="26" t="n"/>
      <c r="D38" s="26" t="n"/>
      <c r="E38" s="26" t="n"/>
      <c r="F38" s="26" t="n"/>
      <c r="G38" s="26" t="n"/>
      <c r="H38" s="26" t="n"/>
      <c r="I38" s="26" t="n"/>
      <c r="J38" s="26" t="n"/>
      <c r="K38" s="26" t="n"/>
      <c r="L38" s="26" t="n"/>
      <c r="M38" s="26" t="n"/>
      <c r="N38" s="26" t="n"/>
      <c r="O38" s="26" t="n"/>
      <c r="P38" s="26" t="n"/>
      <c r="Q38" s="26" t="n"/>
      <c r="R38" s="26" t="n"/>
      <c r="S38" s="26" t="n"/>
      <c r="T38" s="26" t="n"/>
      <c r="U38" s="26" t="n"/>
      <c r="V38" s="26" t="n"/>
      <c r="W38" s="26" t="n"/>
      <c r="X38" s="26" t="n"/>
      <c r="Y38" s="26" t="n"/>
      <c r="Z38" s="26" t="n"/>
      <c r="AA38" s="28">
        <f>SUM(B38:Z38)</f>
        <v/>
      </c>
    </row>
    <row r="39" ht="17" customHeight="1">
      <c r="A39" s="5" t="inlineStr">
        <is>
          <t xml:space="preserve">  収入｜増資・出資</t>
        </is>
      </c>
      <c r="B39" s="26" t="n"/>
      <c r="C39" s="26" t="n"/>
      <c r="D39" s="26" t="n"/>
      <c r="E39" s="26" t="n"/>
      <c r="F39" s="26" t="n"/>
      <c r="G39" s="26" t="n"/>
      <c r="H39" s="26" t="n"/>
      <c r="I39" s="26" t="n"/>
      <c r="J39" s="26" t="n"/>
      <c r="K39" s="26" t="n"/>
      <c r="L39" s="26" t="n"/>
      <c r="M39" s="26" t="n"/>
      <c r="N39" s="26" t="n"/>
      <c r="O39" s="26" t="n"/>
      <c r="P39" s="26" t="n"/>
      <c r="Q39" s="26" t="n"/>
      <c r="R39" s="26" t="n"/>
      <c r="S39" s="26" t="n"/>
      <c r="T39" s="26" t="n"/>
      <c r="U39" s="26" t="n"/>
      <c r="V39" s="26" t="n"/>
      <c r="W39" s="26" t="n"/>
      <c r="X39" s="26" t="n"/>
      <c r="Y39" s="26" t="n"/>
      <c r="Z39" s="26" t="n"/>
      <c r="AA39" s="28">
        <f>SUM(B39:Z39)</f>
        <v/>
      </c>
    </row>
    <row r="40" ht="17" customHeight="1">
      <c r="A40" s="5" t="inlineStr">
        <is>
          <t xml:space="preserve">  収入｜その他</t>
        </is>
      </c>
      <c r="B40" s="26" t="n"/>
      <c r="C40" s="26" t="n"/>
      <c r="D40" s="26" t="n"/>
      <c r="E40" s="26" t="n"/>
      <c r="F40" s="26" t="n"/>
      <c r="G40" s="26" t="n"/>
      <c r="H40" s="26" t="n"/>
      <c r="I40" s="26" t="n"/>
      <c r="J40" s="26" t="n"/>
      <c r="K40" s="26" t="n"/>
      <c r="L40" s="26" t="n"/>
      <c r="M40" s="26" t="n"/>
      <c r="N40" s="26" t="n"/>
      <c r="O40" s="26" t="n"/>
      <c r="P40" s="26" t="n"/>
      <c r="Q40" s="26" t="n"/>
      <c r="R40" s="26" t="n"/>
      <c r="S40" s="26" t="n"/>
      <c r="T40" s="26" t="n"/>
      <c r="U40" s="26" t="n"/>
      <c r="V40" s="26" t="n"/>
      <c r="W40" s="26" t="n"/>
      <c r="X40" s="26" t="n"/>
      <c r="Y40" s="26" t="n"/>
      <c r="Z40" s="26" t="n"/>
      <c r="AA40" s="28">
        <f>SUM(B40:Z40)</f>
        <v/>
      </c>
    </row>
    <row r="41" ht="17" customHeight="1">
      <c r="A41" s="16" t="inlineStr">
        <is>
          <t xml:space="preserve">  収入 計</t>
        </is>
      </c>
      <c r="B41" s="29">
        <f>SUM(B38:B40)</f>
        <v/>
      </c>
      <c r="C41" s="29">
        <f>SUM(C38:C40)</f>
        <v/>
      </c>
      <c r="D41" s="29">
        <f>SUM(D38:D40)</f>
        <v/>
      </c>
      <c r="E41" s="29">
        <f>SUM(E38:E40)</f>
        <v/>
      </c>
      <c r="F41" s="29">
        <f>SUM(F38:F40)</f>
        <v/>
      </c>
      <c r="G41" s="29">
        <f>SUM(G38:G40)</f>
        <v/>
      </c>
      <c r="H41" s="29">
        <f>SUM(H38:H40)</f>
        <v/>
      </c>
      <c r="I41" s="29">
        <f>SUM(I38:I40)</f>
        <v/>
      </c>
      <c r="J41" s="29">
        <f>SUM(J38:J40)</f>
        <v/>
      </c>
      <c r="K41" s="29">
        <f>SUM(K38:K40)</f>
        <v/>
      </c>
      <c r="L41" s="29">
        <f>SUM(L38:L40)</f>
        <v/>
      </c>
      <c r="M41" s="29">
        <f>SUM(M38:M40)</f>
        <v/>
      </c>
      <c r="N41" s="29">
        <f>SUM(N38:N40)</f>
        <v/>
      </c>
      <c r="O41" s="29">
        <f>SUM(O38:O40)</f>
        <v/>
      </c>
      <c r="P41" s="29">
        <f>SUM(P38:P40)</f>
        <v/>
      </c>
      <c r="Q41" s="29">
        <f>SUM(Q38:Q40)</f>
        <v/>
      </c>
      <c r="R41" s="29">
        <f>SUM(R38:R40)</f>
        <v/>
      </c>
      <c r="S41" s="29">
        <f>SUM(S38:S40)</f>
        <v/>
      </c>
      <c r="T41" s="29">
        <f>SUM(T38:T40)</f>
        <v/>
      </c>
      <c r="U41" s="29">
        <f>SUM(U38:U40)</f>
        <v/>
      </c>
      <c r="V41" s="29">
        <f>SUM(V38:V40)</f>
        <v/>
      </c>
      <c r="W41" s="29">
        <f>SUM(W38:W40)</f>
        <v/>
      </c>
      <c r="X41" s="29">
        <f>SUM(X38:X40)</f>
        <v/>
      </c>
      <c r="Y41" s="29">
        <f>SUM(Y38:Y40)</f>
        <v/>
      </c>
      <c r="Z41" s="29">
        <f>SUM(Z38:Z40)</f>
        <v/>
      </c>
      <c r="AA41" s="29">
        <f>SUM(AA38:AA40)</f>
        <v/>
      </c>
    </row>
    <row r="42" ht="17" customHeight="1">
      <c r="A42" s="5" t="inlineStr">
        <is>
          <t xml:space="preserve">  支出｜借入金返済</t>
        </is>
      </c>
      <c r="B42" s="26" t="n"/>
      <c r="C42" s="26" t="n"/>
      <c r="D42" s="26" t="n"/>
      <c r="E42" s="26" t="n"/>
      <c r="F42" s="26" t="n"/>
      <c r="G42" s="26" t="n"/>
      <c r="H42" s="26" t="n"/>
      <c r="I42" s="26" t="n"/>
      <c r="J42" s="26" t="n"/>
      <c r="K42" s="26" t="n"/>
      <c r="L42" s="26" t="n"/>
      <c r="M42" s="26" t="n"/>
      <c r="N42" s="26" t="n"/>
      <c r="O42" s="26" t="n"/>
      <c r="P42" s="26" t="n"/>
      <c r="Q42" s="26" t="n"/>
      <c r="R42" s="26" t="n"/>
      <c r="S42" s="26" t="n"/>
      <c r="T42" s="26" t="n"/>
      <c r="U42" s="26" t="n"/>
      <c r="V42" s="26" t="n"/>
      <c r="W42" s="26" t="n"/>
      <c r="X42" s="26" t="n"/>
      <c r="Y42" s="26" t="n"/>
      <c r="Z42" s="26" t="n"/>
      <c r="AA42" s="28">
        <f>SUM(B42:Z42)</f>
        <v/>
      </c>
    </row>
    <row r="43" ht="17" customHeight="1">
      <c r="A43" s="5" t="inlineStr">
        <is>
          <t xml:space="preserve">  支出｜配当金・役員借入返済</t>
        </is>
      </c>
      <c r="B43" s="26" t="n"/>
      <c r="C43" s="26" t="n"/>
      <c r="D43" s="26" t="n"/>
      <c r="E43" s="26" t="n"/>
      <c r="F43" s="26" t="n"/>
      <c r="G43" s="26" t="n"/>
      <c r="H43" s="26" t="n"/>
      <c r="I43" s="26" t="n"/>
      <c r="J43" s="26" t="n"/>
      <c r="K43" s="26" t="n"/>
      <c r="L43" s="26" t="n"/>
      <c r="M43" s="26" t="n"/>
      <c r="N43" s="26" t="n"/>
      <c r="O43" s="26" t="n"/>
      <c r="P43" s="26" t="n"/>
      <c r="Q43" s="26" t="n"/>
      <c r="R43" s="26" t="n"/>
      <c r="S43" s="26" t="n"/>
      <c r="T43" s="26" t="n"/>
      <c r="U43" s="26" t="n"/>
      <c r="V43" s="26" t="n"/>
      <c r="W43" s="26" t="n"/>
      <c r="X43" s="26" t="n"/>
      <c r="Y43" s="26" t="n"/>
      <c r="Z43" s="26" t="n"/>
      <c r="AA43" s="28">
        <f>SUM(B43:Z43)</f>
        <v/>
      </c>
    </row>
    <row r="44" ht="17" customHeight="1">
      <c r="A44" s="5" t="inlineStr">
        <is>
          <t xml:space="preserve">  支出｜その他</t>
        </is>
      </c>
      <c r="B44" s="26" t="n"/>
      <c r="C44" s="26" t="n"/>
      <c r="D44" s="26" t="n"/>
      <c r="E44" s="26" t="n"/>
      <c r="F44" s="26" t="n"/>
      <c r="G44" s="26" t="n"/>
      <c r="H44" s="26" t="n"/>
      <c r="I44" s="26" t="n"/>
      <c r="J44" s="26" t="n"/>
      <c r="K44" s="26" t="n"/>
      <c r="L44" s="26" t="n"/>
      <c r="M44" s="26" t="n"/>
      <c r="N44" s="26" t="n"/>
      <c r="O44" s="26" t="n"/>
      <c r="P44" s="26" t="n"/>
      <c r="Q44" s="26" t="n"/>
      <c r="R44" s="26" t="n"/>
      <c r="S44" s="26" t="n"/>
      <c r="T44" s="26" t="n"/>
      <c r="U44" s="26" t="n"/>
      <c r="V44" s="26" t="n"/>
      <c r="W44" s="26" t="n"/>
      <c r="X44" s="26" t="n"/>
      <c r="Y44" s="26" t="n"/>
      <c r="Z44" s="26" t="n"/>
      <c r="AA44" s="28">
        <f>SUM(B44:Z44)</f>
        <v/>
      </c>
    </row>
    <row r="45" ht="17" customHeight="1">
      <c r="A45" s="16" t="inlineStr">
        <is>
          <t xml:space="preserve">  支出 計</t>
        </is>
      </c>
      <c r="B45" s="29">
        <f>SUM(B42:B44)</f>
        <v/>
      </c>
      <c r="C45" s="29">
        <f>SUM(C42:C44)</f>
        <v/>
      </c>
      <c r="D45" s="29">
        <f>SUM(D42:D44)</f>
        <v/>
      </c>
      <c r="E45" s="29">
        <f>SUM(E42:E44)</f>
        <v/>
      </c>
      <c r="F45" s="29">
        <f>SUM(F42:F44)</f>
        <v/>
      </c>
      <c r="G45" s="29">
        <f>SUM(G42:G44)</f>
        <v/>
      </c>
      <c r="H45" s="29">
        <f>SUM(H42:H44)</f>
        <v/>
      </c>
      <c r="I45" s="29">
        <f>SUM(I42:I44)</f>
        <v/>
      </c>
      <c r="J45" s="29">
        <f>SUM(J42:J44)</f>
        <v/>
      </c>
      <c r="K45" s="29">
        <f>SUM(K42:K44)</f>
        <v/>
      </c>
      <c r="L45" s="29">
        <f>SUM(L42:L44)</f>
        <v/>
      </c>
      <c r="M45" s="29">
        <f>SUM(M42:M44)</f>
        <v/>
      </c>
      <c r="N45" s="29">
        <f>SUM(N42:N44)</f>
        <v/>
      </c>
      <c r="O45" s="29">
        <f>SUM(O42:O44)</f>
        <v/>
      </c>
      <c r="P45" s="29">
        <f>SUM(P42:P44)</f>
        <v/>
      </c>
      <c r="Q45" s="29">
        <f>SUM(Q42:Q44)</f>
        <v/>
      </c>
      <c r="R45" s="29">
        <f>SUM(R42:R44)</f>
        <v/>
      </c>
      <c r="S45" s="29">
        <f>SUM(S42:S44)</f>
        <v/>
      </c>
      <c r="T45" s="29">
        <f>SUM(T42:T44)</f>
        <v/>
      </c>
      <c r="U45" s="29">
        <f>SUM(U42:U44)</f>
        <v/>
      </c>
      <c r="V45" s="29">
        <f>SUM(V42:V44)</f>
        <v/>
      </c>
      <c r="W45" s="29">
        <f>SUM(W42:W44)</f>
        <v/>
      </c>
      <c r="X45" s="29">
        <f>SUM(X42:X44)</f>
        <v/>
      </c>
      <c r="Y45" s="29">
        <f>SUM(Y42:Y44)</f>
        <v/>
      </c>
      <c r="Z45" s="29">
        <f>SUM(Z42:Z44)</f>
        <v/>
      </c>
      <c r="AA45" s="29">
        <f>SUM(AA42:AA44)</f>
        <v/>
      </c>
    </row>
    <row r="46" ht="17" customHeight="1">
      <c r="A46" s="18" t="inlineStr">
        <is>
          <t>財務収支 差額（収入－支出）</t>
        </is>
      </c>
      <c r="B46" s="30">
        <f>B41-B45</f>
        <v/>
      </c>
      <c r="C46" s="30">
        <f>C41-C45</f>
        <v/>
      </c>
      <c r="D46" s="30">
        <f>D41-D45</f>
        <v/>
      </c>
      <c r="E46" s="30">
        <f>E41-E45</f>
        <v/>
      </c>
      <c r="F46" s="30">
        <f>F41-F45</f>
        <v/>
      </c>
      <c r="G46" s="30">
        <f>G41-G45</f>
        <v/>
      </c>
      <c r="H46" s="30">
        <f>H41-H45</f>
        <v/>
      </c>
      <c r="I46" s="30">
        <f>I41-I45</f>
        <v/>
      </c>
      <c r="J46" s="30">
        <f>J41-J45</f>
        <v/>
      </c>
      <c r="K46" s="30">
        <f>K41-K45</f>
        <v/>
      </c>
      <c r="L46" s="30">
        <f>L41-L45</f>
        <v/>
      </c>
      <c r="M46" s="30">
        <f>M41-M45</f>
        <v/>
      </c>
      <c r="N46" s="30">
        <f>N41-N45</f>
        <v/>
      </c>
      <c r="O46" s="30">
        <f>O41-O45</f>
        <v/>
      </c>
      <c r="P46" s="30">
        <f>P41-P45</f>
        <v/>
      </c>
      <c r="Q46" s="30">
        <f>Q41-Q45</f>
        <v/>
      </c>
      <c r="R46" s="30">
        <f>R41-R45</f>
        <v/>
      </c>
      <c r="S46" s="30">
        <f>S41-S45</f>
        <v/>
      </c>
      <c r="T46" s="30">
        <f>T41-T45</f>
        <v/>
      </c>
      <c r="U46" s="30">
        <f>U41-U45</f>
        <v/>
      </c>
      <c r="V46" s="30">
        <f>V41-V45</f>
        <v/>
      </c>
      <c r="W46" s="30">
        <f>W41-W45</f>
        <v/>
      </c>
      <c r="X46" s="30">
        <f>X41-X45</f>
        <v/>
      </c>
      <c r="Y46" s="30">
        <f>Y41-Y45</f>
        <v/>
      </c>
      <c r="Z46" s="30">
        <f>Z41-Z45</f>
        <v/>
      </c>
      <c r="AA46" s="30">
        <f>AA41-AA45</f>
        <v/>
      </c>
    </row>
    <row r="47" ht="17" customHeight="1">
      <c r="A47" s="18" t="inlineStr">
        <is>
          <t>前月繰越（月初残高）</t>
        </is>
      </c>
      <c r="B47" s="26" t="n">
        <v>0</v>
      </c>
      <c r="C47" s="30">
        <f>B48</f>
        <v/>
      </c>
      <c r="D47" s="30">
        <f>C48</f>
        <v/>
      </c>
      <c r="E47" s="30">
        <f>D48</f>
        <v/>
      </c>
      <c r="F47" s="30">
        <f>E48</f>
        <v/>
      </c>
      <c r="G47" s="30">
        <f>F48</f>
        <v/>
      </c>
      <c r="H47" s="30">
        <f>G48</f>
        <v/>
      </c>
      <c r="I47" s="30">
        <f>H48</f>
        <v/>
      </c>
      <c r="J47" s="30">
        <f>I48</f>
        <v/>
      </c>
      <c r="K47" s="30">
        <f>J48</f>
        <v/>
      </c>
      <c r="L47" s="30">
        <f>K48</f>
        <v/>
      </c>
      <c r="M47" s="30">
        <f>L48</f>
        <v/>
      </c>
      <c r="N47" s="30">
        <f>M48</f>
        <v/>
      </c>
      <c r="O47" s="30">
        <f>N48</f>
        <v/>
      </c>
      <c r="P47" s="30">
        <f>O48</f>
        <v/>
      </c>
      <c r="Q47" s="30">
        <f>P48</f>
        <v/>
      </c>
      <c r="R47" s="30">
        <f>Q48</f>
        <v/>
      </c>
      <c r="S47" s="30">
        <f>R48</f>
        <v/>
      </c>
      <c r="T47" s="30">
        <f>S48</f>
        <v/>
      </c>
      <c r="U47" s="30">
        <f>T48</f>
        <v/>
      </c>
      <c r="V47" s="30">
        <f>U48</f>
        <v/>
      </c>
      <c r="W47" s="30">
        <f>V48</f>
        <v/>
      </c>
      <c r="X47" s="30">
        <f>W48</f>
        <v/>
      </c>
      <c r="Y47" s="30">
        <f>X48</f>
        <v/>
      </c>
      <c r="Z47" s="30">
        <f>Y48</f>
        <v/>
      </c>
      <c r="AA47" s="30">
        <f>B47</f>
        <v/>
      </c>
    </row>
    <row r="48" ht="18" customHeight="1">
      <c r="A48" s="20" t="inlineStr">
        <is>
          <t>翌月繰越（月末残高）</t>
        </is>
      </c>
      <c r="B48" s="30">
        <f>B47+B26+B36+B46</f>
        <v/>
      </c>
      <c r="C48" s="30">
        <f>C47+C26+C36+C46</f>
        <v/>
      </c>
      <c r="D48" s="30">
        <f>D47+D26+D36+D46</f>
        <v/>
      </c>
      <c r="E48" s="30">
        <f>E47+E26+E36+E46</f>
        <v/>
      </c>
      <c r="F48" s="30">
        <f>F47+F26+F36+F46</f>
        <v/>
      </c>
      <c r="G48" s="30">
        <f>G47+G26+G36+G46</f>
        <v/>
      </c>
      <c r="H48" s="30">
        <f>H47+H26+H36+H46</f>
        <v/>
      </c>
      <c r="I48" s="30">
        <f>I47+I26+I36+I46</f>
        <v/>
      </c>
      <c r="J48" s="30">
        <f>J47+J26+J36+J46</f>
        <v/>
      </c>
      <c r="K48" s="30">
        <f>K47+K26+K36+K46</f>
        <v/>
      </c>
      <c r="L48" s="30">
        <f>L47+L26+L36+L46</f>
        <v/>
      </c>
      <c r="M48" s="30">
        <f>M47+M26+M36+M46</f>
        <v/>
      </c>
      <c r="N48" s="30">
        <f>N47+N26+N36+N46</f>
        <v/>
      </c>
      <c r="O48" s="30">
        <f>O47+O26+O36+O46</f>
        <v/>
      </c>
      <c r="P48" s="30">
        <f>P47+P26+P36+P46</f>
        <v/>
      </c>
      <c r="Q48" s="30">
        <f>Q47+Q26+Q36+Q46</f>
        <v/>
      </c>
      <c r="R48" s="30">
        <f>R47+R26+R36+R46</f>
        <v/>
      </c>
      <c r="S48" s="30">
        <f>S47+S26+S36+S46</f>
        <v/>
      </c>
      <c r="T48" s="30">
        <f>T47+T26+T36+T46</f>
        <v/>
      </c>
      <c r="U48" s="30">
        <f>U47+U26+U36+U46</f>
        <v/>
      </c>
      <c r="V48" s="30">
        <f>V47+V26+V36+V46</f>
        <v/>
      </c>
      <c r="W48" s="30">
        <f>W47+W26+W36+W46</f>
        <v/>
      </c>
      <c r="X48" s="30">
        <f>X47+X26+X36+X46</f>
        <v/>
      </c>
      <c r="Y48" s="30">
        <f>Y47+Y26+Y36+Y46</f>
        <v/>
      </c>
      <c r="Z48" s="30">
        <f>Z47+Z26+Z36+Z46</f>
        <v/>
      </c>
      <c r="AA48" s="30">
        <f>Z48</f>
        <v/>
      </c>
    </row>
    <row r="49">
      <c r="A49" s="7" t="inlineStr">
        <is>
          <t>残高判定</t>
        </is>
      </c>
      <c r="B49" s="21">
        <f>IF(B48&lt;$B$4,"要注意","OK")</f>
        <v/>
      </c>
      <c r="C49" s="21">
        <f>IF(C48&lt;$B$4,"要注意","OK")</f>
        <v/>
      </c>
      <c r="D49" s="21">
        <f>IF(D48&lt;$B$4,"要注意","OK")</f>
        <v/>
      </c>
      <c r="E49" s="21">
        <f>IF(E48&lt;$B$4,"要注意","OK")</f>
        <v/>
      </c>
      <c r="F49" s="21">
        <f>IF(F48&lt;$B$4,"要注意","OK")</f>
        <v/>
      </c>
      <c r="G49" s="21">
        <f>IF(G48&lt;$B$4,"要注意","OK")</f>
        <v/>
      </c>
      <c r="H49" s="21">
        <f>IF(H48&lt;$B$4,"要注意","OK")</f>
        <v/>
      </c>
      <c r="I49" s="21">
        <f>IF(I48&lt;$B$4,"要注意","OK")</f>
        <v/>
      </c>
      <c r="J49" s="21">
        <f>IF(J48&lt;$B$4,"要注意","OK")</f>
        <v/>
      </c>
      <c r="K49" s="21">
        <f>IF(K48&lt;$B$4,"要注意","OK")</f>
        <v/>
      </c>
      <c r="L49" s="21">
        <f>IF(L48&lt;$B$4,"要注意","OK")</f>
        <v/>
      </c>
      <c r="M49" s="21">
        <f>IF(M48&lt;$B$4,"要注意","OK")</f>
        <v/>
      </c>
      <c r="N49" s="21">
        <f>IF(N48&lt;$B$4,"要注意","OK")</f>
        <v/>
      </c>
      <c r="O49" s="21">
        <f>IF(O48&lt;$B$4,"要注意","OK")</f>
        <v/>
      </c>
      <c r="P49" s="21">
        <f>IF(P48&lt;$B$4,"要注意","OK")</f>
        <v/>
      </c>
      <c r="Q49" s="21">
        <f>IF(Q48&lt;$B$4,"要注意","OK")</f>
        <v/>
      </c>
      <c r="R49" s="21">
        <f>IF(R48&lt;$B$4,"要注意","OK")</f>
        <v/>
      </c>
      <c r="S49" s="21">
        <f>IF(S48&lt;$B$4,"要注意","OK")</f>
        <v/>
      </c>
      <c r="T49" s="21">
        <f>IF(T48&lt;$B$4,"要注意","OK")</f>
        <v/>
      </c>
      <c r="U49" s="21">
        <f>IF(U48&lt;$B$4,"要注意","OK")</f>
        <v/>
      </c>
      <c r="V49" s="21">
        <f>IF(V48&lt;$B$4,"要注意","OK")</f>
        <v/>
      </c>
      <c r="W49" s="21">
        <f>IF(W48&lt;$B$4,"要注意","OK")</f>
        <v/>
      </c>
      <c r="X49" s="21">
        <f>IF(X48&lt;$B$4,"要注意","OK")</f>
        <v/>
      </c>
      <c r="Y49" s="21">
        <f>IF(Y48&lt;$B$4,"要注意","OK")</f>
        <v/>
      </c>
      <c r="Z49" s="21">
        <f>IF(Z48&lt;$B$4,"要注意","OK")</f>
        <v/>
      </c>
    </row>
    <row r="50" ht="17" customHeight="1"/>
    <row r="51" ht="17" customHeight="1">
      <c r="A51" s="20" t="inlineStr">
        <is>
          <t>滞納管理（社会保険料・住民税）※資金収支の計算には含めない</t>
        </is>
      </c>
      <c r="B51" s="22" t="n"/>
      <c r="C51" s="22" t="n"/>
      <c r="D51" s="22" t="n"/>
      <c r="E51" s="22" t="n"/>
      <c r="F51" s="22" t="n"/>
      <c r="G51" s="22" t="n"/>
      <c r="H51" s="22" t="n"/>
      <c r="I51" s="22" t="n"/>
      <c r="J51" s="22" t="n"/>
      <c r="K51" s="22" t="n"/>
      <c r="L51" s="22" t="n"/>
      <c r="M51" s="22" t="n"/>
      <c r="N51" s="22" t="n"/>
      <c r="O51" s="22" t="n"/>
      <c r="P51" s="22" t="n"/>
      <c r="Q51" s="22" t="n"/>
      <c r="R51" s="22" t="n"/>
      <c r="S51" s="22" t="n"/>
      <c r="T51" s="22" t="n"/>
      <c r="U51" s="22" t="n"/>
      <c r="V51" s="22" t="n"/>
      <c r="W51" s="22" t="n"/>
      <c r="X51" s="22" t="n"/>
      <c r="Y51" s="22" t="n"/>
      <c r="Z51" s="22" t="n"/>
      <c r="AA51" s="22" t="n"/>
    </row>
    <row r="52" ht="17" customHeight="1">
      <c r="A52" s="13" t="inlineStr">
        <is>
          <t>社会保険料</t>
        </is>
      </c>
      <c r="B52" s="23" t="n"/>
      <c r="C52" s="23" t="n"/>
      <c r="D52" s="23" t="n"/>
      <c r="E52" s="23" t="n"/>
      <c r="F52" s="23" t="n"/>
      <c r="G52" s="23" t="n"/>
      <c r="H52" s="23" t="n"/>
      <c r="I52" s="23" t="n"/>
      <c r="J52" s="23" t="n"/>
      <c r="K52" s="23" t="n"/>
      <c r="L52" s="23" t="n"/>
      <c r="M52" s="23" t="n"/>
      <c r="N52" s="23" t="n"/>
      <c r="O52" s="23" t="n"/>
      <c r="P52" s="23" t="n"/>
      <c r="Q52" s="23" t="n"/>
      <c r="R52" s="23" t="n"/>
      <c r="S52" s="23" t="n"/>
      <c r="T52" s="23" t="n"/>
      <c r="U52" s="23" t="n"/>
      <c r="V52" s="23" t="n"/>
      <c r="W52" s="23" t="n"/>
      <c r="X52" s="23" t="n"/>
      <c r="Y52" s="23" t="n"/>
      <c r="Z52" s="23" t="n"/>
      <c r="AA52" s="23" t="n"/>
    </row>
    <row r="53" ht="17" customHeight="1">
      <c r="A53" s="5" t="inlineStr">
        <is>
          <t xml:space="preserve">  本来の納付額（前月と同額を自動・変わる月だけ入力）</t>
        </is>
      </c>
      <c r="B53" s="26" t="n">
        <v>1550000</v>
      </c>
      <c r="C53" s="31">
        <f>B53</f>
        <v/>
      </c>
      <c r="D53" s="31">
        <f>C53</f>
        <v/>
      </c>
      <c r="E53" s="31">
        <f>D53</f>
        <v/>
      </c>
      <c r="F53" s="26" t="n">
        <v>1650000</v>
      </c>
      <c r="G53" s="31">
        <f>F53</f>
        <v/>
      </c>
      <c r="H53" s="31">
        <f>G53</f>
        <v/>
      </c>
      <c r="I53" s="31">
        <f>H53</f>
        <v/>
      </c>
      <c r="J53" s="31">
        <f>I53</f>
        <v/>
      </c>
      <c r="K53" s="26" t="n">
        <v>1800000</v>
      </c>
      <c r="L53" s="26" t="n">
        <v>1850000</v>
      </c>
      <c r="M53" s="31">
        <f>L53</f>
        <v/>
      </c>
      <c r="N53" s="31">
        <f>M53</f>
        <v/>
      </c>
      <c r="O53" s="31">
        <f>N53</f>
        <v/>
      </c>
      <c r="P53" s="31">
        <f>O53</f>
        <v/>
      </c>
      <c r="Q53" s="31">
        <f>P53</f>
        <v/>
      </c>
      <c r="R53" s="31">
        <f>Q53</f>
        <v/>
      </c>
      <c r="S53" s="31">
        <f>R53</f>
        <v/>
      </c>
      <c r="T53" s="31">
        <f>S53</f>
        <v/>
      </c>
      <c r="U53" s="31">
        <f>T53</f>
        <v/>
      </c>
      <c r="V53" s="31">
        <f>U53</f>
        <v/>
      </c>
      <c r="W53" s="31">
        <f>V53</f>
        <v/>
      </c>
      <c r="X53" s="31">
        <f>W53</f>
        <v/>
      </c>
      <c r="Y53" s="31">
        <f>X53</f>
        <v/>
      </c>
      <c r="Z53" s="31">
        <f>Y53</f>
        <v/>
      </c>
      <c r="AA53" s="28">
        <f>SUM(B53:Z53)</f>
        <v/>
      </c>
    </row>
    <row r="54" ht="17" customHeight="1">
      <c r="A54" s="5" t="inlineStr">
        <is>
          <t xml:space="preserve">  実際の納付額（上段から自動）</t>
        </is>
      </c>
      <c r="B54" s="32">
        <f>B19</f>
        <v/>
      </c>
      <c r="C54" s="32">
        <f>C19</f>
        <v/>
      </c>
      <c r="D54" s="32">
        <f>D19</f>
        <v/>
      </c>
      <c r="E54" s="32">
        <f>E19</f>
        <v/>
      </c>
      <c r="F54" s="32">
        <f>F19</f>
        <v/>
      </c>
      <c r="G54" s="32">
        <f>G19</f>
        <v/>
      </c>
      <c r="H54" s="32">
        <f>H19</f>
        <v/>
      </c>
      <c r="I54" s="32">
        <f>I19</f>
        <v/>
      </c>
      <c r="J54" s="32">
        <f>J19</f>
        <v/>
      </c>
      <c r="K54" s="32">
        <f>K19</f>
        <v/>
      </c>
      <c r="L54" s="32">
        <f>L19</f>
        <v/>
      </c>
      <c r="M54" s="32">
        <f>M19</f>
        <v/>
      </c>
      <c r="N54" s="32">
        <f>N19</f>
        <v/>
      </c>
      <c r="O54" s="32">
        <f>O19</f>
        <v/>
      </c>
      <c r="P54" s="32">
        <f>P19</f>
        <v/>
      </c>
      <c r="Q54" s="32">
        <f>Q19</f>
        <v/>
      </c>
      <c r="R54" s="32">
        <f>R19</f>
        <v/>
      </c>
      <c r="S54" s="32">
        <f>S19</f>
        <v/>
      </c>
      <c r="T54" s="32">
        <f>T19</f>
        <v/>
      </c>
      <c r="U54" s="32">
        <f>U19</f>
        <v/>
      </c>
      <c r="V54" s="32">
        <f>V19</f>
        <v/>
      </c>
      <c r="W54" s="32">
        <f>W19</f>
        <v/>
      </c>
      <c r="X54" s="32">
        <f>X19</f>
        <v/>
      </c>
      <c r="Y54" s="32">
        <f>Y19</f>
        <v/>
      </c>
      <c r="Z54" s="32">
        <f>Z19</f>
        <v/>
      </c>
      <c r="AA54" s="28">
        <f>SUM(B54:Z54)</f>
        <v/>
      </c>
    </row>
    <row r="55" ht="17" customHeight="1">
      <c r="A55" s="16" t="inlineStr">
        <is>
          <t xml:space="preserve">  滞納残高（累計）</t>
        </is>
      </c>
      <c r="B55" s="29">
        <f>B53-B54</f>
        <v/>
      </c>
      <c r="C55" s="29">
        <f>B55+C53-C54</f>
        <v/>
      </c>
      <c r="D55" s="29">
        <f>C55+D53-D54</f>
        <v/>
      </c>
      <c r="E55" s="29">
        <f>D55+E53-E54</f>
        <v/>
      </c>
      <c r="F55" s="29">
        <f>E55+F53-F54</f>
        <v/>
      </c>
      <c r="G55" s="29">
        <f>F55+G53-G54</f>
        <v/>
      </c>
      <c r="H55" s="29">
        <f>G55+H53-H54</f>
        <v/>
      </c>
      <c r="I55" s="29">
        <f>H55+I53-I54</f>
        <v/>
      </c>
      <c r="J55" s="29">
        <f>I55+J53-J54</f>
        <v/>
      </c>
      <c r="K55" s="29">
        <f>J55+K53-K54</f>
        <v/>
      </c>
      <c r="L55" s="29">
        <f>K55+L53-L54</f>
        <v/>
      </c>
      <c r="M55" s="29">
        <f>L55+M53-M54</f>
        <v/>
      </c>
      <c r="N55" s="29">
        <f>M55+N53-N54</f>
        <v/>
      </c>
      <c r="O55" s="29">
        <f>N55+O53-O54</f>
        <v/>
      </c>
      <c r="P55" s="29">
        <f>O55+P53-P54</f>
        <v/>
      </c>
      <c r="Q55" s="29">
        <f>P55+Q53-Q54</f>
        <v/>
      </c>
      <c r="R55" s="29">
        <f>Q55+R53-R54</f>
        <v/>
      </c>
      <c r="S55" s="29">
        <f>R55+S53-S54</f>
        <v/>
      </c>
      <c r="T55" s="29">
        <f>S55+T53-T54</f>
        <v/>
      </c>
      <c r="U55" s="29">
        <f>T55+U53-U54</f>
        <v/>
      </c>
      <c r="V55" s="29">
        <f>U55+V53-V54</f>
        <v/>
      </c>
      <c r="W55" s="29">
        <f>V55+W53-W54</f>
        <v/>
      </c>
      <c r="X55" s="29">
        <f>W55+X53-X54</f>
        <v/>
      </c>
      <c r="Y55" s="29">
        <f>X55+Y53-Y54</f>
        <v/>
      </c>
      <c r="Z55" s="29">
        <f>Y55+Z53-Z54</f>
        <v/>
      </c>
      <c r="AA55" s="29">
        <f>Z55</f>
        <v/>
      </c>
    </row>
    <row r="56" ht="17" customHeight="1">
      <c r="A56" s="13" t="inlineStr">
        <is>
          <t>住民税その他税</t>
        </is>
      </c>
      <c r="B56" s="23" t="n"/>
      <c r="C56" s="23" t="n"/>
      <c r="D56" s="23" t="n"/>
      <c r="E56" s="23" t="n"/>
      <c r="F56" s="23" t="n"/>
      <c r="G56" s="23" t="n"/>
      <c r="H56" s="23" t="n"/>
      <c r="I56" s="23" t="n"/>
      <c r="J56" s="23" t="n"/>
      <c r="K56" s="23" t="n"/>
      <c r="L56" s="23" t="n"/>
      <c r="M56" s="23" t="n"/>
      <c r="N56" s="23" t="n"/>
      <c r="O56" s="23" t="n"/>
      <c r="P56" s="23" t="n"/>
      <c r="Q56" s="23" t="n"/>
      <c r="R56" s="23" t="n"/>
      <c r="S56" s="23" t="n"/>
      <c r="T56" s="23" t="n"/>
      <c r="U56" s="23" t="n"/>
      <c r="V56" s="23" t="n"/>
      <c r="W56" s="23" t="n"/>
      <c r="X56" s="23" t="n"/>
      <c r="Y56" s="23" t="n"/>
      <c r="Z56" s="23" t="n"/>
      <c r="AA56" s="23" t="n"/>
    </row>
    <row r="57" ht="17" customHeight="1">
      <c r="A57" s="5" t="inlineStr">
        <is>
          <t xml:space="preserve">  本来の納付額（前月と同額を自動・変わる月だけ入力）</t>
        </is>
      </c>
      <c r="B57" s="26" t="n">
        <v>350000</v>
      </c>
      <c r="C57" s="31">
        <f>B57</f>
        <v/>
      </c>
      <c r="D57" s="31">
        <f>C57</f>
        <v/>
      </c>
      <c r="E57" s="31">
        <f>D57</f>
        <v/>
      </c>
      <c r="F57" s="31">
        <f>E57</f>
        <v/>
      </c>
      <c r="G57" s="31">
        <f>F57</f>
        <v/>
      </c>
      <c r="H57" s="31">
        <f>G57</f>
        <v/>
      </c>
      <c r="I57" s="31">
        <f>H57</f>
        <v/>
      </c>
      <c r="J57" s="31">
        <f>I57</f>
        <v/>
      </c>
      <c r="K57" s="31">
        <f>J57</f>
        <v/>
      </c>
      <c r="L57" s="31">
        <f>K57</f>
        <v/>
      </c>
      <c r="M57" s="31">
        <f>L57</f>
        <v/>
      </c>
      <c r="N57" s="31">
        <f>M57</f>
        <v/>
      </c>
      <c r="O57" s="31">
        <f>N57</f>
        <v/>
      </c>
      <c r="P57" s="31">
        <f>O57</f>
        <v/>
      </c>
      <c r="Q57" s="31">
        <f>P57</f>
        <v/>
      </c>
      <c r="R57" s="31">
        <f>Q57</f>
        <v/>
      </c>
      <c r="S57" s="31">
        <f>R57</f>
        <v/>
      </c>
      <c r="T57" s="31">
        <f>S57</f>
        <v/>
      </c>
      <c r="U57" s="31">
        <f>T57</f>
        <v/>
      </c>
      <c r="V57" s="31">
        <f>U57</f>
        <v/>
      </c>
      <c r="W57" s="31">
        <f>V57</f>
        <v/>
      </c>
      <c r="X57" s="31">
        <f>W57</f>
        <v/>
      </c>
      <c r="Y57" s="31">
        <f>X57</f>
        <v/>
      </c>
      <c r="Z57" s="31">
        <f>Y57</f>
        <v/>
      </c>
      <c r="AA57" s="28">
        <f>SUM(B57:Z57)</f>
        <v/>
      </c>
    </row>
    <row r="58" ht="17" customHeight="1">
      <c r="A58" s="5" t="inlineStr">
        <is>
          <t xml:space="preserve">  実際の納付額（上段から自動）</t>
        </is>
      </c>
      <c r="B58" s="32">
        <f>B20</f>
        <v/>
      </c>
      <c r="C58" s="32">
        <f>C20</f>
        <v/>
      </c>
      <c r="D58" s="32">
        <f>D20</f>
        <v/>
      </c>
      <c r="E58" s="32">
        <f>E20</f>
        <v/>
      </c>
      <c r="F58" s="32">
        <f>F20</f>
        <v/>
      </c>
      <c r="G58" s="32">
        <f>G20</f>
        <v/>
      </c>
      <c r="H58" s="32">
        <f>H20</f>
        <v/>
      </c>
      <c r="I58" s="32">
        <f>I20</f>
        <v/>
      </c>
      <c r="J58" s="32">
        <f>J20</f>
        <v/>
      </c>
      <c r="K58" s="32">
        <f>K20</f>
        <v/>
      </c>
      <c r="L58" s="32">
        <f>L20</f>
        <v/>
      </c>
      <c r="M58" s="32">
        <f>M20</f>
        <v/>
      </c>
      <c r="N58" s="32">
        <f>N20</f>
        <v/>
      </c>
      <c r="O58" s="32">
        <f>O20</f>
        <v/>
      </c>
      <c r="P58" s="32">
        <f>P20</f>
        <v/>
      </c>
      <c r="Q58" s="32">
        <f>Q20</f>
        <v/>
      </c>
      <c r="R58" s="32">
        <f>R20</f>
        <v/>
      </c>
      <c r="S58" s="32">
        <f>S20</f>
        <v/>
      </c>
      <c r="T58" s="32">
        <f>T20</f>
        <v/>
      </c>
      <c r="U58" s="32">
        <f>U20</f>
        <v/>
      </c>
      <c r="V58" s="32">
        <f>V20</f>
        <v/>
      </c>
      <c r="W58" s="32">
        <f>W20</f>
        <v/>
      </c>
      <c r="X58" s="32">
        <f>X20</f>
        <v/>
      </c>
      <c r="Y58" s="32">
        <f>Y20</f>
        <v/>
      </c>
      <c r="Z58" s="32">
        <f>Z20</f>
        <v/>
      </c>
      <c r="AA58" s="28">
        <f>SUM(B58:Z58)</f>
        <v/>
      </c>
    </row>
    <row r="59" ht="17" customHeight="1">
      <c r="A59" s="16" t="inlineStr">
        <is>
          <t xml:space="preserve">  滞納残高（累計）</t>
        </is>
      </c>
      <c r="B59" s="29">
        <f>B57-B58</f>
        <v/>
      </c>
      <c r="C59" s="29">
        <f>B59+C57-C58</f>
        <v/>
      </c>
      <c r="D59" s="29">
        <f>C59+D57-D58</f>
        <v/>
      </c>
      <c r="E59" s="29">
        <f>D59+E57-E58</f>
        <v/>
      </c>
      <c r="F59" s="29">
        <f>E59+F57-F58</f>
        <v/>
      </c>
      <c r="G59" s="29">
        <f>F59+G57-G58</f>
        <v/>
      </c>
      <c r="H59" s="29">
        <f>G59+H57-H58</f>
        <v/>
      </c>
      <c r="I59" s="29">
        <f>H59+I57-I58</f>
        <v/>
      </c>
      <c r="J59" s="29">
        <f>I59+J57-J58</f>
        <v/>
      </c>
      <c r="K59" s="29">
        <f>J59+K57-K58</f>
        <v/>
      </c>
      <c r="L59" s="29">
        <f>K59+L57-L58</f>
        <v/>
      </c>
      <c r="M59" s="29">
        <f>L59+M57-M58</f>
        <v/>
      </c>
      <c r="N59" s="29">
        <f>M59+N57-N58</f>
        <v/>
      </c>
      <c r="O59" s="29">
        <f>N59+O57-O58</f>
        <v/>
      </c>
      <c r="P59" s="29">
        <f>O59+P57-P58</f>
        <v/>
      </c>
      <c r="Q59" s="29">
        <f>P59+Q57-Q58</f>
        <v/>
      </c>
      <c r="R59" s="29">
        <f>Q59+R57-R58</f>
        <v/>
      </c>
      <c r="S59" s="29">
        <f>R59+S57-S58</f>
        <v/>
      </c>
      <c r="T59" s="29">
        <f>S59+T57-T58</f>
        <v/>
      </c>
      <c r="U59" s="29">
        <f>T59+U57-U58</f>
        <v/>
      </c>
      <c r="V59" s="29">
        <f>U59+V57-V58</f>
        <v/>
      </c>
      <c r="W59" s="29">
        <f>V59+W57-W58</f>
        <v/>
      </c>
      <c r="X59" s="29">
        <f>W59+X57-X58</f>
        <v/>
      </c>
      <c r="Y59" s="29">
        <f>X59+Y57-Y58</f>
        <v/>
      </c>
      <c r="Z59" s="29">
        <f>Y59+Z57-Z58</f>
        <v/>
      </c>
      <c r="AA59" s="29">
        <f>Z59</f>
        <v/>
      </c>
    </row>
    <row r="60" ht="17" customHeight="1">
      <c r="A60" s="18" t="inlineStr">
        <is>
          <t>滞納残高 合計</t>
        </is>
      </c>
      <c r="B60" s="30">
        <f>B55+B59</f>
        <v/>
      </c>
      <c r="C60" s="30">
        <f>C55+C59</f>
        <v/>
      </c>
      <c r="D60" s="30">
        <f>D55+D59</f>
        <v/>
      </c>
      <c r="E60" s="30">
        <f>E55+E59</f>
        <v/>
      </c>
      <c r="F60" s="30">
        <f>F55+F59</f>
        <v/>
      </c>
      <c r="G60" s="30">
        <f>G55+G59</f>
        <v/>
      </c>
      <c r="H60" s="30">
        <f>H55+H59</f>
        <v/>
      </c>
      <c r="I60" s="30">
        <f>I55+I59</f>
        <v/>
      </c>
      <c r="J60" s="30">
        <f>J55+J59</f>
        <v/>
      </c>
      <c r="K60" s="30">
        <f>K55+K59</f>
        <v/>
      </c>
      <c r="L60" s="30">
        <f>L55+L59</f>
        <v/>
      </c>
      <c r="M60" s="30">
        <f>M55+M59</f>
        <v/>
      </c>
      <c r="N60" s="30">
        <f>N55+N59</f>
        <v/>
      </c>
      <c r="O60" s="30">
        <f>O55+O59</f>
        <v/>
      </c>
      <c r="P60" s="30">
        <f>P55+P59</f>
        <v/>
      </c>
      <c r="Q60" s="30">
        <f>Q55+Q59</f>
        <v/>
      </c>
      <c r="R60" s="30">
        <f>R55+R59</f>
        <v/>
      </c>
      <c r="S60" s="30">
        <f>S55+S59</f>
        <v/>
      </c>
      <c r="T60" s="30">
        <f>T55+T59</f>
        <v/>
      </c>
      <c r="U60" s="30">
        <f>U55+U59</f>
        <v/>
      </c>
      <c r="V60" s="30">
        <f>V55+V59</f>
        <v/>
      </c>
      <c r="W60" s="30">
        <f>W55+W59</f>
        <v/>
      </c>
      <c r="X60" s="30">
        <f>X55+X59</f>
        <v/>
      </c>
      <c r="Y60" s="30">
        <f>Y55+Y59</f>
        <v/>
      </c>
      <c r="Z60" s="30">
        <f>Z55+Z59</f>
        <v/>
      </c>
      <c r="AA60" s="30">
        <f>AA55+AA59</f>
        <v/>
      </c>
    </row>
    <row r="61">
      <c r="A61" s="18" t="inlineStr">
        <is>
          <t>実質残高（月末残高－滞納残高合計）</t>
        </is>
      </c>
      <c r="B61" s="30">
        <f>B48-B60</f>
        <v/>
      </c>
      <c r="C61" s="30">
        <f>C48-C60</f>
        <v/>
      </c>
      <c r="D61" s="30">
        <f>D48-D60</f>
        <v/>
      </c>
      <c r="E61" s="30">
        <f>E48-E60</f>
        <v/>
      </c>
      <c r="F61" s="30">
        <f>F48-F60</f>
        <v/>
      </c>
      <c r="G61" s="30">
        <f>G48-G60</f>
        <v/>
      </c>
      <c r="H61" s="30">
        <f>H48-H60</f>
        <v/>
      </c>
      <c r="I61" s="30">
        <f>I48-I60</f>
        <v/>
      </c>
      <c r="J61" s="30">
        <f>J48-J60</f>
        <v/>
      </c>
      <c r="K61" s="30">
        <f>K48-K60</f>
        <v/>
      </c>
      <c r="L61" s="30">
        <f>L48-L60</f>
        <v/>
      </c>
      <c r="M61" s="30">
        <f>M48-M60</f>
        <v/>
      </c>
      <c r="N61" s="30">
        <f>N48-N60</f>
        <v/>
      </c>
      <c r="O61" s="30">
        <f>O48-O60</f>
        <v/>
      </c>
      <c r="P61" s="30">
        <f>P48-P60</f>
        <v/>
      </c>
      <c r="Q61" s="30">
        <f>Q48-Q60</f>
        <v/>
      </c>
      <c r="R61" s="30">
        <f>R48-R60</f>
        <v/>
      </c>
      <c r="S61" s="30">
        <f>S48-S60</f>
        <v/>
      </c>
      <c r="T61" s="30">
        <f>T48-T60</f>
        <v/>
      </c>
      <c r="U61" s="30">
        <f>U48-U60</f>
        <v/>
      </c>
      <c r="V61" s="30">
        <f>V48-V60</f>
        <v/>
      </c>
      <c r="W61" s="30">
        <f>W48-W60</f>
        <v/>
      </c>
      <c r="X61" s="30">
        <f>X48-X60</f>
        <v/>
      </c>
      <c r="Y61" s="30">
        <f>Y48-Y60</f>
        <v/>
      </c>
      <c r="Z61" s="30">
        <f>Z48-Z60</f>
        <v/>
      </c>
      <c r="AA61" s="30">
        <f>AA48-AA60</f>
        <v/>
      </c>
    </row>
    <row r="62" ht="16" customHeight="1"/>
    <row r="63" ht="16" customHeight="1">
      <c r="A63" s="10" t="inlineStr">
        <is>
          <t>※滞納管理：上段の「法定福利費」「住民税その他税」に実際に払った額（満額でなくても）を入れると、下段の実際の納付額・滞納残高に自動反映。本来の納付額は前月と同額が自動で入ります（変わる月だけ上書き）。</t>
        </is>
      </c>
    </row>
    <row r="64">
      <c r="A64" s="10" t="inlineStr">
        <is>
          <t>※営業収入の2025年10月〜2026年8月は実績値（各セルのコメントに出典）。2026年9月は集計ファイル未確認のため空欄。</t>
        </is>
      </c>
    </row>
    <row r="65"/>
    <row r="66"/>
    <row r="67"/>
    <row r="68"/>
    <row r="69"/>
  </sheetData>
  <conditionalFormatting sqref="B55:Z55">
    <cfRule type="expression" priority="4" dxfId="3">
      <formula>B$55&gt;0</formula>
    </cfRule>
  </conditionalFormatting>
  <conditionalFormatting sqref="B59:Z59">
    <cfRule type="expression" priority="5" dxfId="3">
      <formula>B$59&gt;0</formula>
    </cfRule>
  </conditionalFormatting>
  <conditionalFormatting sqref="B60:Z60">
    <cfRule type="expression" priority="2" dxfId="0">
      <formula>B$60&gt;0</formula>
    </cfRule>
  </conditionalFormatting>
  <conditionalFormatting sqref="B48:Z49">
    <cfRule type="expression" priority="6" dxfId="0">
      <formula>B$48&lt;$B$4</formula>
    </cfRule>
  </conditionalFormatting>
  <conditionalFormatting sqref="B61:Z61">
    <cfRule type="expression" priority="7" dxfId="0">
      <formula>B$61&lt;$B$4</formula>
    </cfRule>
  </conditionalFormatting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2026-10-05T11:50:52Z</dcterms:created>
  <dcterms:modified xsi:type="dcterms:W3CDTF">2026-10-05T13:01:58Z</dcterms:modified>
  <cp:lastModifiedBy>儀尊 生島</cp:lastModifiedBy>
</cp:coreProperties>
</file>