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資金繰り表（月次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&quot;年&quot;m&quot;月&quot;"/>
    <numFmt numFmtId="166" formatCode="#,##0;[Red]-#,##0;&quot;-&quot;"/>
  </numFmts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0000FF"/>
      <sz val="10"/>
    </font>
    <font>
      <name val="游ゴシック"/>
      <sz val="9"/>
    </font>
    <font>
      <name val="游ゴシック"/>
      <b val="1"/>
      <color rgb="00FFFFFF"/>
      <sz val="10"/>
    </font>
    <font>
      <name val="游ゴシック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0" fontId="6" fillId="7" borderId="1" pivotButton="0" quotePrefix="0" xfId="0"/>
    <xf numFmtId="0" fontId="2" fillId="0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6" fontId="2" fillId="4" borderId="1" pivotButton="0" quotePrefix="0" xfId="0"/>
    <xf numFmtId="0" fontId="2" fillId="5" borderId="1" pivotButton="0" quotePrefix="0" xfId="0"/>
    <xf numFmtId="166" fontId="6" fillId="5" borderId="1" pivotButton="0" quotePrefix="0" xfId="0"/>
    <xf numFmtId="166" fontId="6" fillId="0" borderId="1" pivotButton="0" quotePrefix="0" xfId="0"/>
    <xf numFmtId="0" fontId="2" fillId="6" borderId="1" pivotButton="0" quotePrefix="0" xfId="0"/>
    <xf numFmtId="166" fontId="2" fillId="6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B4" authorId="0" shapeId="0">
      <text>
        <t>運転資金の目安（例：月商の1〜2か月分）。記入例の値です。</t>
      </text>
    </comment>
    <comment ref="B8" authorId="0" shapeId="0">
      <text>
        <t>初月のみ手入力（期首の現預金残高）。2か月目以降は自動。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パターンA：月次資金繰り表（15か月）</t>
        </is>
      </c>
    </row>
    <row r="4">
      <c r="B4" s="2" t="inlineStr">
        <is>
          <t>■ 用途：最も一般的な形式。15か月間の資金の出入りを月単位で見通し、資金不足の月を事前に把握します。</t>
        </is>
      </c>
    </row>
    <row r="5">
      <c r="B5" s="2" t="inlineStr">
        <is>
          <t>■ 構成：「経常収支」「経常外収支」「財務収支」の三区分（中小企業・金融機関で標準的な形）。</t>
        </is>
      </c>
    </row>
    <row r="6">
      <c r="B6" s="2" t="inlineStr">
        <is>
          <t>■ 手順</t>
        </is>
      </c>
    </row>
    <row r="7">
      <c r="B7" s="3" t="inlineStr">
        <is>
          <t xml:space="preserve">  1. 「資金繰り表（月次）」シートの B3 に開始年月、B4 に最低必要残高を入力</t>
        </is>
      </c>
    </row>
    <row r="8">
      <c r="B8" s="3" t="inlineStr">
        <is>
          <t xml:space="preserve">  2. B8（初月の前月繰越）に期首の現預金残高を入力</t>
        </is>
      </c>
    </row>
    <row r="9">
      <c r="B9" s="3" t="inlineStr">
        <is>
          <t xml:space="preserve">  3. 各月の黄色セルに、収入・支出の予定額を入力（2か月目以降の繰越は自動計算）</t>
        </is>
      </c>
    </row>
    <row r="10">
      <c r="B10" s="3" t="inlineStr">
        <is>
          <t xml:space="preserve">  4. 翌月繰越がマイナス／最低必要残高未満の月は赤表示 → 借入・支払条件の見直し等を検討</t>
        </is>
      </c>
    </row>
    <row r="11">
      <c r="B11" s="2" t="inlineStr">
        <is>
          <t>■ 未払金支払：経費の後払い分（カード払い・月末締め翌月払いの外注費・リース料など）の支払額を、実際に口座から出る月に入力します。</t>
        </is>
      </c>
    </row>
    <row r="12">
      <c r="B12" s="2" t="inlineStr">
        <is>
          <t>■ 科目名は自社に合わせて書き換えて構いません（A列）。行を挿入した場合は「計」の範囲を確認してください。</t>
        </is>
      </c>
    </row>
    <row r="14">
      <c r="B14" s="4" t="inlineStr">
        <is>
          <t>入力セル（黄色・青字）</t>
        </is>
      </c>
    </row>
    <row r="15">
      <c r="B15" s="5" t="inlineStr">
        <is>
          <t>計算式セル（白・黒字）＝触らない</t>
        </is>
      </c>
    </row>
    <row r="16">
      <c r="B16" s="6" t="inlineStr">
        <is>
          <t>残高が「最低必要残高」を下回ると赤く表示されます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資金繰り表（月次・15か月）</t>
        </is>
      </c>
    </row>
    <row r="2">
      <c r="A2" s="7" t="inlineStr">
        <is>
          <t>会社名</t>
        </is>
      </c>
      <c r="B2" s="4" t="inlineStr"/>
    </row>
    <row r="3">
      <c r="A3" s="7" t="inlineStr">
        <is>
          <t>開始年月</t>
        </is>
      </c>
      <c r="B3" s="8" t="n">
        <v>46235</v>
      </c>
    </row>
    <row r="4">
      <c r="A4" s="7" t="inlineStr">
        <is>
          <t>最低必要残高（円）</t>
        </is>
      </c>
      <c r="B4" s="9" t="n">
        <v>1000000</v>
      </c>
    </row>
    <row r="5">
      <c r="A5" s="10" t="inlineStr">
        <is>
          <t>単位：円</t>
        </is>
      </c>
    </row>
    <row r="7">
      <c r="A7" s="11" t="inlineStr">
        <is>
          <t>科目</t>
        </is>
      </c>
      <c r="B7" s="12">
        <f>EDATE($B$3,0)</f>
        <v/>
      </c>
      <c r="C7" s="12">
        <f>EDATE($B$3,1)</f>
        <v/>
      </c>
      <c r="D7" s="12">
        <f>EDATE($B$3,2)</f>
        <v/>
      </c>
      <c r="E7" s="12">
        <f>EDATE($B$3,3)</f>
        <v/>
      </c>
      <c r="F7" s="12">
        <f>EDATE($B$3,4)</f>
        <v/>
      </c>
      <c r="G7" s="12">
        <f>EDATE($B$3,5)</f>
        <v/>
      </c>
      <c r="H7" s="12">
        <f>EDATE($B$3,6)</f>
        <v/>
      </c>
      <c r="I7" s="12">
        <f>EDATE($B$3,7)</f>
        <v/>
      </c>
      <c r="J7" s="12">
        <f>EDATE($B$3,8)</f>
        <v/>
      </c>
      <c r="K7" s="12">
        <f>EDATE($B$3,9)</f>
        <v/>
      </c>
      <c r="L7" s="12">
        <f>EDATE($B$3,10)</f>
        <v/>
      </c>
      <c r="M7" s="12">
        <f>EDATE($B$3,11)</f>
        <v/>
      </c>
      <c r="N7" s="12">
        <f>EDATE($B$3,12)</f>
        <v/>
      </c>
      <c r="O7" s="12">
        <f>EDATE($B$3,13)</f>
        <v/>
      </c>
      <c r="P7" s="12">
        <f>EDATE($B$3,14)</f>
        <v/>
      </c>
      <c r="Q7" s="11" t="inlineStr">
        <is>
          <t>合計</t>
        </is>
      </c>
    </row>
    <row r="8">
      <c r="A8" s="13" t="inlineStr">
        <is>
          <t>前月繰越（月初残高）</t>
        </is>
      </c>
      <c r="B8" s="9" t="n">
        <v>2000000</v>
      </c>
      <c r="C8" s="14">
        <f>B48</f>
        <v/>
      </c>
      <c r="D8" s="14">
        <f>C48</f>
        <v/>
      </c>
      <c r="E8" s="14">
        <f>D48</f>
        <v/>
      </c>
      <c r="F8" s="14">
        <f>E48</f>
        <v/>
      </c>
      <c r="G8" s="14">
        <f>F48</f>
        <v/>
      </c>
      <c r="H8" s="14">
        <f>G48</f>
        <v/>
      </c>
      <c r="I8" s="14">
        <f>H48</f>
        <v/>
      </c>
      <c r="J8" s="14">
        <f>I48</f>
        <v/>
      </c>
      <c r="K8" s="14">
        <f>J48</f>
        <v/>
      </c>
      <c r="L8" s="14">
        <f>K48</f>
        <v/>
      </c>
      <c r="M8" s="14">
        <f>L48</f>
        <v/>
      </c>
      <c r="N8" s="14">
        <f>M48</f>
        <v/>
      </c>
      <c r="O8" s="14">
        <f>N48</f>
        <v/>
      </c>
      <c r="P8" s="14">
        <f>O48</f>
        <v/>
      </c>
      <c r="Q8" s="14">
        <f>B8</f>
        <v/>
      </c>
    </row>
    <row r="9">
      <c r="A9" s="15" t="inlineStr">
        <is>
          <t>経常収支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5" t="inlineStr">
        <is>
          <t xml:space="preserve">  収入｜現金売上</t>
        </is>
      </c>
      <c r="B10" s="9" t="n">
        <v>300000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7">
        <f>SUM(B10:P10)</f>
        <v/>
      </c>
    </row>
    <row r="11">
      <c r="A11" s="5" t="inlineStr">
        <is>
          <t xml:space="preserve">  収入｜売掛金回収</t>
        </is>
      </c>
      <c r="B11" s="9" t="n">
        <v>2500000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7">
        <f>SUM(B11:P11)</f>
        <v/>
      </c>
    </row>
    <row r="12">
      <c r="A12" s="5" t="inlineStr">
        <is>
          <t xml:space="preserve">  収入｜受取手形期日入金</t>
        </is>
      </c>
      <c r="B12" s="9" t="n">
        <v>400000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7">
        <f>SUM(B12:P12)</f>
        <v/>
      </c>
    </row>
    <row r="13">
      <c r="A13" s="5" t="inlineStr">
        <is>
          <t xml:space="preserve">  収入｜手形割引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7">
        <f>SUM(B13:P13)</f>
        <v/>
      </c>
    </row>
    <row r="14">
      <c r="A14" s="5" t="inlineStr">
        <is>
          <t xml:space="preserve">  収入｜その他収入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7">
        <f>SUM(B14:P14)</f>
        <v/>
      </c>
    </row>
    <row r="15">
      <c r="A15" s="18" t="inlineStr">
        <is>
          <t xml:space="preserve">  収入 計</t>
        </is>
      </c>
      <c r="B15" s="19">
        <f>SUM(B10:B14)</f>
        <v/>
      </c>
      <c r="C15" s="19">
        <f>SUM(C10:C14)</f>
        <v/>
      </c>
      <c r="D15" s="19">
        <f>SUM(D10:D14)</f>
        <v/>
      </c>
      <c r="E15" s="19">
        <f>SUM(E10:E14)</f>
        <v/>
      </c>
      <c r="F15" s="19">
        <f>SUM(F10:F14)</f>
        <v/>
      </c>
      <c r="G15" s="19">
        <f>SUM(G10:G14)</f>
        <v/>
      </c>
      <c r="H15" s="19">
        <f>SUM(H10:H14)</f>
        <v/>
      </c>
      <c r="I15" s="19">
        <f>SUM(I10:I14)</f>
        <v/>
      </c>
      <c r="J15" s="19">
        <f>SUM(J10:J14)</f>
        <v/>
      </c>
      <c r="K15" s="19">
        <f>SUM(K10:K14)</f>
        <v/>
      </c>
      <c r="L15" s="19">
        <f>SUM(L10:L14)</f>
        <v/>
      </c>
      <c r="M15" s="19">
        <f>SUM(M10:M14)</f>
        <v/>
      </c>
      <c r="N15" s="19">
        <f>SUM(N10:N14)</f>
        <v/>
      </c>
      <c r="O15" s="19">
        <f>SUM(O10:O14)</f>
        <v/>
      </c>
      <c r="P15" s="19">
        <f>SUM(P10:P14)</f>
        <v/>
      </c>
      <c r="Q15" s="19">
        <f>SUM(Q10:Q14)</f>
        <v/>
      </c>
    </row>
    <row r="16">
      <c r="A16" s="5" t="inlineStr">
        <is>
          <t xml:space="preserve">  支出｜現金仕入</t>
        </is>
      </c>
      <c r="B16" s="9" t="n">
        <v>150000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7">
        <f>SUM(B16:P16)</f>
        <v/>
      </c>
    </row>
    <row r="17">
      <c r="A17" s="5" t="inlineStr">
        <is>
          <t xml:space="preserve">  支出｜買掛金支払</t>
        </is>
      </c>
      <c r="B17" s="9" t="n">
        <v>1300000</v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7">
        <f>SUM(B17:P17)</f>
        <v/>
      </c>
    </row>
    <row r="18">
      <c r="A18" s="5" t="inlineStr">
        <is>
          <t xml:space="preserve">  支出｜支払手形決済</t>
        </is>
      </c>
      <c r="B18" s="9" t="n">
        <v>200000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7">
        <f>SUM(B18:P18)</f>
        <v/>
      </c>
    </row>
    <row r="19">
      <c r="A19" s="5" t="inlineStr">
        <is>
          <t xml:space="preserve">  支出｜未払金支払</t>
        </is>
      </c>
      <c r="B19" s="9" t="n">
        <v>100000</v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7">
        <f>SUM(B19:P19)</f>
        <v/>
      </c>
    </row>
    <row r="20">
      <c r="A20" s="5" t="inlineStr">
        <is>
          <t xml:space="preserve">  支出｜人件費（給与・賞与）</t>
        </is>
      </c>
      <c r="B20" s="9" t="n">
        <v>900000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7">
        <f>SUM(B20:P20)</f>
        <v/>
      </c>
    </row>
    <row r="21">
      <c r="A21" s="5" t="inlineStr">
        <is>
          <t xml:space="preserve">  支出｜法定福利費</t>
        </is>
      </c>
      <c r="B21" s="9" t="n">
        <v>130000</v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7">
        <f>SUM(B21:P21)</f>
        <v/>
      </c>
    </row>
    <row r="22">
      <c r="A22" s="5" t="inlineStr">
        <is>
          <t xml:space="preserve">  支出｜地代家賃</t>
        </is>
      </c>
      <c r="B22" s="9" t="n">
        <v>200000</v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7">
        <f>SUM(B22:P22)</f>
        <v/>
      </c>
    </row>
    <row r="23">
      <c r="A23" s="5" t="inlineStr">
        <is>
          <t xml:space="preserve">  支出｜水道光熱費・通信費</t>
        </is>
      </c>
      <c r="B23" s="9" t="n">
        <v>60000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7">
        <f>SUM(B23:P23)</f>
        <v/>
      </c>
    </row>
    <row r="24">
      <c r="A24" s="5" t="inlineStr">
        <is>
          <t xml:space="preserve">  支出｜その他経費</t>
        </is>
      </c>
      <c r="B24" s="9" t="n">
        <v>180000</v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7">
        <f>SUM(B24:P24)</f>
        <v/>
      </c>
    </row>
    <row r="25">
      <c r="A25" s="5" t="inlineStr">
        <is>
          <t xml:space="preserve">  支出｜支払利息・割引料</t>
        </is>
      </c>
      <c r="B25" s="9" t="n">
        <v>15000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7">
        <f>SUM(B25:P25)</f>
        <v/>
      </c>
    </row>
    <row r="26">
      <c r="A26" s="18" t="inlineStr">
        <is>
          <t xml:space="preserve">  支出 計</t>
        </is>
      </c>
      <c r="B26" s="19">
        <f>SUM(B16:B25)</f>
        <v/>
      </c>
      <c r="C26" s="19">
        <f>SUM(C16:C25)</f>
        <v/>
      </c>
      <c r="D26" s="19">
        <f>SUM(D16:D25)</f>
        <v/>
      </c>
      <c r="E26" s="19">
        <f>SUM(E16:E25)</f>
        <v/>
      </c>
      <c r="F26" s="19">
        <f>SUM(F16:F25)</f>
        <v/>
      </c>
      <c r="G26" s="19">
        <f>SUM(G16:G25)</f>
        <v/>
      </c>
      <c r="H26" s="19">
        <f>SUM(H16:H25)</f>
        <v/>
      </c>
      <c r="I26" s="19">
        <f>SUM(I16:I25)</f>
        <v/>
      </c>
      <c r="J26" s="19">
        <f>SUM(J16:J25)</f>
        <v/>
      </c>
      <c r="K26" s="19">
        <f>SUM(K16:K25)</f>
        <v/>
      </c>
      <c r="L26" s="19">
        <f>SUM(L16:L25)</f>
        <v/>
      </c>
      <c r="M26" s="19">
        <f>SUM(M16:M25)</f>
        <v/>
      </c>
      <c r="N26" s="19">
        <f>SUM(N16:N25)</f>
        <v/>
      </c>
      <c r="O26" s="19">
        <f>SUM(O16:O25)</f>
        <v/>
      </c>
      <c r="P26" s="19">
        <f>SUM(P16:P25)</f>
        <v/>
      </c>
      <c r="Q26" s="19">
        <f>SUM(Q16:Q25)</f>
        <v/>
      </c>
    </row>
    <row r="27">
      <c r="A27" s="13" t="inlineStr">
        <is>
          <t>経常収支 差額（収入－支出）</t>
        </is>
      </c>
      <c r="B27" s="14">
        <f>B15-B26</f>
        <v/>
      </c>
      <c r="C27" s="14">
        <f>C15-C26</f>
        <v/>
      </c>
      <c r="D27" s="14">
        <f>D15-D26</f>
        <v/>
      </c>
      <c r="E27" s="14">
        <f>E15-E26</f>
        <v/>
      </c>
      <c r="F27" s="14">
        <f>F15-F26</f>
        <v/>
      </c>
      <c r="G27" s="14">
        <f>G15-G26</f>
        <v/>
      </c>
      <c r="H27" s="14">
        <f>H15-H26</f>
        <v/>
      </c>
      <c r="I27" s="14">
        <f>I15-I26</f>
        <v/>
      </c>
      <c r="J27" s="14">
        <f>J15-J26</f>
        <v/>
      </c>
      <c r="K27" s="14">
        <f>K15-K26</f>
        <v/>
      </c>
      <c r="L27" s="14">
        <f>L15-L26</f>
        <v/>
      </c>
      <c r="M27" s="14">
        <f>M15-M26</f>
        <v/>
      </c>
      <c r="N27" s="14">
        <f>N15-N26</f>
        <v/>
      </c>
      <c r="O27" s="14">
        <f>O15-O26</f>
        <v/>
      </c>
      <c r="P27" s="14">
        <f>P15-P26</f>
        <v/>
      </c>
      <c r="Q27" s="14">
        <f>Q15-Q26</f>
        <v/>
      </c>
    </row>
    <row r="28">
      <c r="A28" s="15" t="inlineStr">
        <is>
          <t>経常外収支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5" t="inlineStr">
        <is>
          <t xml:space="preserve">  収入｜固定資産売却収入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7">
        <f>SUM(B29:P29)</f>
        <v/>
      </c>
    </row>
    <row r="30">
      <c r="A30" s="5" t="inlineStr">
        <is>
          <t xml:space="preserve">  収入｜保険金・補助金等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7">
        <f>SUM(B30:P30)</f>
        <v/>
      </c>
    </row>
    <row r="31">
      <c r="A31" s="5" t="inlineStr">
        <is>
          <t xml:space="preserve">  収入｜その他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7">
        <f>SUM(B31:P31)</f>
        <v/>
      </c>
    </row>
    <row r="32">
      <c r="A32" s="18" t="inlineStr">
        <is>
          <t xml:space="preserve">  収入 計</t>
        </is>
      </c>
      <c r="B32" s="19">
        <f>SUM(B29:B31)</f>
        <v/>
      </c>
      <c r="C32" s="19">
        <f>SUM(C29:C31)</f>
        <v/>
      </c>
      <c r="D32" s="19">
        <f>SUM(D29:D31)</f>
        <v/>
      </c>
      <c r="E32" s="19">
        <f>SUM(E29:E31)</f>
        <v/>
      </c>
      <c r="F32" s="19">
        <f>SUM(F29:F31)</f>
        <v/>
      </c>
      <c r="G32" s="19">
        <f>SUM(G29:G31)</f>
        <v/>
      </c>
      <c r="H32" s="19">
        <f>SUM(H29:H31)</f>
        <v/>
      </c>
      <c r="I32" s="19">
        <f>SUM(I29:I31)</f>
        <v/>
      </c>
      <c r="J32" s="19">
        <f>SUM(J29:J31)</f>
        <v/>
      </c>
      <c r="K32" s="19">
        <f>SUM(K29:K31)</f>
        <v/>
      </c>
      <c r="L32" s="19">
        <f>SUM(L29:L31)</f>
        <v/>
      </c>
      <c r="M32" s="19">
        <f>SUM(M29:M31)</f>
        <v/>
      </c>
      <c r="N32" s="19">
        <f>SUM(N29:N31)</f>
        <v/>
      </c>
      <c r="O32" s="19">
        <f>SUM(O29:O31)</f>
        <v/>
      </c>
      <c r="P32" s="19">
        <f>SUM(P29:P31)</f>
        <v/>
      </c>
      <c r="Q32" s="19">
        <f>SUM(Q29:Q31)</f>
        <v/>
      </c>
    </row>
    <row r="33">
      <c r="A33" s="5" t="inlineStr">
        <is>
          <t xml:space="preserve">  支出｜設備投資（固定資産購入）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7">
        <f>SUM(B33:P33)</f>
        <v/>
      </c>
    </row>
    <row r="34">
      <c r="A34" s="5" t="inlineStr">
        <is>
          <t xml:space="preserve">  支出｜法人税・消費税等納付</t>
        </is>
      </c>
      <c r="B34" s="9" t="n">
        <v>250000</v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7">
        <f>SUM(B34:P34)</f>
        <v/>
      </c>
    </row>
    <row r="35">
      <c r="A35" s="5" t="inlineStr">
        <is>
          <t xml:space="preserve">  支出｜その他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7">
        <f>SUM(B35:P35)</f>
        <v/>
      </c>
    </row>
    <row r="36">
      <c r="A36" s="18" t="inlineStr">
        <is>
          <t xml:space="preserve">  支出 計</t>
        </is>
      </c>
      <c r="B36" s="19">
        <f>SUM(B33:B35)</f>
        <v/>
      </c>
      <c r="C36" s="19">
        <f>SUM(C33:C35)</f>
        <v/>
      </c>
      <c r="D36" s="19">
        <f>SUM(D33:D35)</f>
        <v/>
      </c>
      <c r="E36" s="19">
        <f>SUM(E33:E35)</f>
        <v/>
      </c>
      <c r="F36" s="19">
        <f>SUM(F33:F35)</f>
        <v/>
      </c>
      <c r="G36" s="19">
        <f>SUM(G33:G35)</f>
        <v/>
      </c>
      <c r="H36" s="19">
        <f>SUM(H33:H35)</f>
        <v/>
      </c>
      <c r="I36" s="19">
        <f>SUM(I33:I35)</f>
        <v/>
      </c>
      <c r="J36" s="19">
        <f>SUM(J33:J35)</f>
        <v/>
      </c>
      <c r="K36" s="19">
        <f>SUM(K33:K35)</f>
        <v/>
      </c>
      <c r="L36" s="19">
        <f>SUM(L33:L35)</f>
        <v/>
      </c>
      <c r="M36" s="19">
        <f>SUM(M33:M35)</f>
        <v/>
      </c>
      <c r="N36" s="19">
        <f>SUM(N33:N35)</f>
        <v/>
      </c>
      <c r="O36" s="19">
        <f>SUM(O33:O35)</f>
        <v/>
      </c>
      <c r="P36" s="19">
        <f>SUM(P33:P35)</f>
        <v/>
      </c>
      <c r="Q36" s="19">
        <f>SUM(Q33:Q35)</f>
        <v/>
      </c>
    </row>
    <row r="37">
      <c r="A37" s="13" t="inlineStr">
        <is>
          <t>経常外収支 差額（収入－支出）</t>
        </is>
      </c>
      <c r="B37" s="14">
        <f>B32-B36</f>
        <v/>
      </c>
      <c r="C37" s="14">
        <f>C32-C36</f>
        <v/>
      </c>
      <c r="D37" s="14">
        <f>D32-D36</f>
        <v/>
      </c>
      <c r="E37" s="14">
        <f>E32-E36</f>
        <v/>
      </c>
      <c r="F37" s="14">
        <f>F32-F36</f>
        <v/>
      </c>
      <c r="G37" s="14">
        <f>G32-G36</f>
        <v/>
      </c>
      <c r="H37" s="14">
        <f>H32-H36</f>
        <v/>
      </c>
      <c r="I37" s="14">
        <f>I32-I36</f>
        <v/>
      </c>
      <c r="J37" s="14">
        <f>J32-J36</f>
        <v/>
      </c>
      <c r="K37" s="14">
        <f>K32-K36</f>
        <v/>
      </c>
      <c r="L37" s="14">
        <f>L32-L36</f>
        <v/>
      </c>
      <c r="M37" s="14">
        <f>M32-M36</f>
        <v/>
      </c>
      <c r="N37" s="14">
        <f>N32-N36</f>
        <v/>
      </c>
      <c r="O37" s="14">
        <f>O32-O36</f>
        <v/>
      </c>
      <c r="P37" s="14">
        <f>P32-P36</f>
        <v/>
      </c>
      <c r="Q37" s="14">
        <f>Q32-Q36</f>
        <v/>
      </c>
    </row>
    <row r="38">
      <c r="A38" s="15" t="inlineStr">
        <is>
          <t>財務収支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5" t="inlineStr">
        <is>
          <t xml:space="preserve">  収入｜借入金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7">
        <f>SUM(B39:P39)</f>
        <v/>
      </c>
    </row>
    <row r="40">
      <c r="A40" s="5" t="inlineStr">
        <is>
          <t xml:space="preserve">  収入｜増資・出資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7">
        <f>SUM(B40:P40)</f>
        <v/>
      </c>
    </row>
    <row r="41">
      <c r="A41" s="5" t="inlineStr">
        <is>
          <t xml:space="preserve">  収入｜その他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7">
        <f>SUM(B41:P41)</f>
        <v/>
      </c>
    </row>
    <row r="42">
      <c r="A42" s="18" t="inlineStr">
        <is>
          <t xml:space="preserve">  収入 計</t>
        </is>
      </c>
      <c r="B42" s="19">
        <f>SUM(B39:B41)</f>
        <v/>
      </c>
      <c r="C42" s="19">
        <f>SUM(C39:C41)</f>
        <v/>
      </c>
      <c r="D42" s="19">
        <f>SUM(D39:D41)</f>
        <v/>
      </c>
      <c r="E42" s="19">
        <f>SUM(E39:E41)</f>
        <v/>
      </c>
      <c r="F42" s="19">
        <f>SUM(F39:F41)</f>
        <v/>
      </c>
      <c r="G42" s="19">
        <f>SUM(G39:G41)</f>
        <v/>
      </c>
      <c r="H42" s="19">
        <f>SUM(H39:H41)</f>
        <v/>
      </c>
      <c r="I42" s="19">
        <f>SUM(I39:I41)</f>
        <v/>
      </c>
      <c r="J42" s="19">
        <f>SUM(J39:J41)</f>
        <v/>
      </c>
      <c r="K42" s="19">
        <f>SUM(K39:K41)</f>
        <v/>
      </c>
      <c r="L42" s="19">
        <f>SUM(L39:L41)</f>
        <v/>
      </c>
      <c r="M42" s="19">
        <f>SUM(M39:M41)</f>
        <v/>
      </c>
      <c r="N42" s="19">
        <f>SUM(N39:N41)</f>
        <v/>
      </c>
      <c r="O42" s="19">
        <f>SUM(O39:O41)</f>
        <v/>
      </c>
      <c r="P42" s="19">
        <f>SUM(P39:P41)</f>
        <v/>
      </c>
      <c r="Q42" s="19">
        <f>SUM(Q39:Q41)</f>
        <v/>
      </c>
    </row>
    <row r="43">
      <c r="A43" s="5" t="inlineStr">
        <is>
          <t xml:space="preserve">  支出｜借入金返済</t>
        </is>
      </c>
      <c r="B43" s="9" t="n">
        <v>150000</v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7">
        <f>SUM(B43:P43)</f>
        <v/>
      </c>
    </row>
    <row r="44">
      <c r="A44" s="5" t="inlineStr">
        <is>
          <t xml:space="preserve">  支出｜配当金・役員借入返済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7">
        <f>SUM(B44:P44)</f>
        <v/>
      </c>
    </row>
    <row r="45">
      <c r="A45" s="5" t="inlineStr">
        <is>
          <t xml:space="preserve">  支出｜その他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7">
        <f>SUM(B45:P45)</f>
        <v/>
      </c>
    </row>
    <row r="46">
      <c r="A46" s="18" t="inlineStr">
        <is>
          <t xml:space="preserve">  支出 計</t>
        </is>
      </c>
      <c r="B46" s="19">
        <f>SUM(B43:B45)</f>
        <v/>
      </c>
      <c r="C46" s="19">
        <f>SUM(C43:C45)</f>
        <v/>
      </c>
      <c r="D46" s="19">
        <f>SUM(D43:D45)</f>
        <v/>
      </c>
      <c r="E46" s="19">
        <f>SUM(E43:E45)</f>
        <v/>
      </c>
      <c r="F46" s="19">
        <f>SUM(F43:F45)</f>
        <v/>
      </c>
      <c r="G46" s="19">
        <f>SUM(G43:G45)</f>
        <v/>
      </c>
      <c r="H46" s="19">
        <f>SUM(H43:H45)</f>
        <v/>
      </c>
      <c r="I46" s="19">
        <f>SUM(I43:I45)</f>
        <v/>
      </c>
      <c r="J46" s="19">
        <f>SUM(J43:J45)</f>
        <v/>
      </c>
      <c r="K46" s="19">
        <f>SUM(K43:K45)</f>
        <v/>
      </c>
      <c r="L46" s="19">
        <f>SUM(L43:L45)</f>
        <v/>
      </c>
      <c r="M46" s="19">
        <f>SUM(M43:M45)</f>
        <v/>
      </c>
      <c r="N46" s="19">
        <f>SUM(N43:N45)</f>
        <v/>
      </c>
      <c r="O46" s="19">
        <f>SUM(O43:O45)</f>
        <v/>
      </c>
      <c r="P46" s="19">
        <f>SUM(P43:P45)</f>
        <v/>
      </c>
      <c r="Q46" s="19">
        <f>SUM(Q43:Q45)</f>
        <v/>
      </c>
    </row>
    <row r="47">
      <c r="A47" s="13" t="inlineStr">
        <is>
          <t>財務収支 差額（収入－支出）</t>
        </is>
      </c>
      <c r="B47" s="14">
        <f>B42-B46</f>
        <v/>
      </c>
      <c r="C47" s="14">
        <f>C42-C46</f>
        <v/>
      </c>
      <c r="D47" s="14">
        <f>D42-D46</f>
        <v/>
      </c>
      <c r="E47" s="14">
        <f>E42-E46</f>
        <v/>
      </c>
      <c r="F47" s="14">
        <f>F42-F46</f>
        <v/>
      </c>
      <c r="G47" s="14">
        <f>G42-G46</f>
        <v/>
      </c>
      <c r="H47" s="14">
        <f>H42-H46</f>
        <v/>
      </c>
      <c r="I47" s="14">
        <f>I42-I46</f>
        <v/>
      </c>
      <c r="J47" s="14">
        <f>J42-J46</f>
        <v/>
      </c>
      <c r="K47" s="14">
        <f>K42-K46</f>
        <v/>
      </c>
      <c r="L47" s="14">
        <f>L42-L46</f>
        <v/>
      </c>
      <c r="M47" s="14">
        <f>M42-M46</f>
        <v/>
      </c>
      <c r="N47" s="14">
        <f>N42-N46</f>
        <v/>
      </c>
      <c r="O47" s="14">
        <f>O42-O46</f>
        <v/>
      </c>
      <c r="P47" s="14">
        <f>P42-P46</f>
        <v/>
      </c>
      <c r="Q47" s="14">
        <f>Q42-Q46</f>
        <v/>
      </c>
    </row>
    <row r="48">
      <c r="A48" s="20" t="inlineStr">
        <is>
          <t>翌月繰越（月末残高）</t>
        </is>
      </c>
      <c r="B48" s="14">
        <f>B8+B27+B37+B47</f>
        <v/>
      </c>
      <c r="C48" s="14">
        <f>C8+C27+C37+C47</f>
        <v/>
      </c>
      <c r="D48" s="14">
        <f>D8+D27+D37+D47</f>
        <v/>
      </c>
      <c r="E48" s="14">
        <f>E8+E27+E37+E47</f>
        <v/>
      </c>
      <c r="F48" s="14">
        <f>F8+F27+F37+F47</f>
        <v/>
      </c>
      <c r="G48" s="14">
        <f>G8+G27+G37+G47</f>
        <v/>
      </c>
      <c r="H48" s="14">
        <f>H8+H27+H37+H47</f>
        <v/>
      </c>
      <c r="I48" s="14">
        <f>I8+I27+I37+I47</f>
        <v/>
      </c>
      <c r="J48" s="14">
        <f>J8+J27+J37+J47</f>
        <v/>
      </c>
      <c r="K48" s="14">
        <f>K8+K27+K37+K47</f>
        <v/>
      </c>
      <c r="L48" s="14">
        <f>L8+L27+L37+L47</f>
        <v/>
      </c>
      <c r="M48" s="14">
        <f>M8+M27+M37+M47</f>
        <v/>
      </c>
      <c r="N48" s="14">
        <f>N8+N27+N37+N47</f>
        <v/>
      </c>
      <c r="O48" s="14">
        <f>O8+O27+O37+O47</f>
        <v/>
      </c>
      <c r="P48" s="14">
        <f>P8+P27+P37+P47</f>
        <v/>
      </c>
      <c r="Q48" s="14">
        <f>P48</f>
        <v/>
      </c>
    </row>
    <row r="49">
      <c r="A49" s="7" t="inlineStr">
        <is>
          <t>残高判定</t>
        </is>
      </c>
      <c r="B49" s="21">
        <f>IF(B48&lt;$B$4,"要注意","OK")</f>
        <v/>
      </c>
      <c r="C49" s="21">
        <f>IF(C48&lt;$B$4,"要注意","OK")</f>
        <v/>
      </c>
      <c r="D49" s="21">
        <f>IF(D48&lt;$B$4,"要注意","OK")</f>
        <v/>
      </c>
      <c r="E49" s="21">
        <f>IF(E48&lt;$B$4,"要注意","OK")</f>
        <v/>
      </c>
      <c r="F49" s="21">
        <f>IF(F48&lt;$B$4,"要注意","OK")</f>
        <v/>
      </c>
      <c r="G49" s="21">
        <f>IF(G48&lt;$B$4,"要注意","OK")</f>
        <v/>
      </c>
      <c r="H49" s="21">
        <f>IF(H48&lt;$B$4,"要注意","OK")</f>
        <v/>
      </c>
      <c r="I49" s="21">
        <f>IF(I48&lt;$B$4,"要注意","OK")</f>
        <v/>
      </c>
      <c r="J49" s="21">
        <f>IF(J48&lt;$B$4,"要注意","OK")</f>
        <v/>
      </c>
      <c r="K49" s="21">
        <f>IF(K48&lt;$B$4,"要注意","OK")</f>
        <v/>
      </c>
      <c r="L49" s="21">
        <f>IF(L48&lt;$B$4,"要注意","OK")</f>
        <v/>
      </c>
      <c r="M49" s="21">
        <f>IF(M48&lt;$B$4,"要注意","OK")</f>
        <v/>
      </c>
      <c r="N49" s="21">
        <f>IF(N48&lt;$B$4,"要注意","OK")</f>
        <v/>
      </c>
      <c r="O49" s="21">
        <f>IF(O48&lt;$B$4,"要注意","OK")</f>
        <v/>
      </c>
      <c r="P49" s="21">
        <f>IF(P48&lt;$B$4,"要注意","OK")</f>
        <v/>
      </c>
    </row>
    <row r="51">
      <c r="A51" s="10" t="inlineStr">
        <is>
          <t>※B列（1か月目）の数値は記入例です。実際の数値に置き換えてください。</t>
        </is>
      </c>
    </row>
  </sheetData>
  <conditionalFormatting sqref="B48:P49">
    <cfRule type="expression" priority="1" dxfId="0">
      <formula>B$48&lt;$B$4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2026-10-05T11:32:46Z</dcterms:created>
  <dcterms:modified xsi:type="dcterms:W3CDTF">2026-10-05T11:32:46Z</dcterms:modified>
</cp:coreProperties>
</file>