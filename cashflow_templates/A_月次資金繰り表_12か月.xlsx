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資金繰り表（月次）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&quot;年&quot;m&quot;月&quot;"/>
    <numFmt numFmtId="166" formatCode="#,##0;[Red]-#,##0;&quot;-&quot;"/>
  </numFmts>
  <fonts count="7">
    <font>
      <name val="Calibri"/>
      <family val="2"/>
      <color theme="1"/>
      <sz val="11"/>
      <scheme val="minor"/>
    </font>
    <font>
      <name val="游ゴシック"/>
      <b val="1"/>
      <sz val="14"/>
    </font>
    <font>
      <name val="游ゴシック"/>
      <b val="1"/>
      <sz val="10"/>
    </font>
    <font>
      <name val="游ゴシック"/>
      <color rgb="000000FF"/>
      <sz val="10"/>
    </font>
    <font>
      <name val="游ゴシック"/>
      <sz val="9"/>
    </font>
    <font>
      <name val="游ゴシック"/>
      <b val="1"/>
      <color rgb="00FFFFFF"/>
      <sz val="10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6" fillId="7" borderId="1" pivotButton="0" quotePrefix="0" xfId="0"/>
    <xf numFmtId="0" fontId="2" fillId="0" borderId="1" pivotButton="0" quotePrefix="0" xfId="0"/>
    <xf numFmtId="165" fontId="3" fillId="2" borderId="1" pivotButton="0" quotePrefix="0" xfId="0"/>
    <xf numFmtId="166" fontId="3" fillId="2" borderId="1" pivotButton="0" quotePrefix="0" xfId="0"/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center" vertical="center" wrapText="1"/>
    </xf>
    <xf numFmtId="0" fontId="2" fillId="4" borderId="1" pivotButton="0" quotePrefix="0" xfId="0"/>
    <xf numFmtId="166" fontId="2" fillId="4" borderId="1" pivotButton="0" quotePrefix="0" xfId="0"/>
    <xf numFmtId="0" fontId="2" fillId="5" borderId="1" pivotButton="0" quotePrefix="0" xfId="0"/>
    <xf numFmtId="166" fontId="6" fillId="5" borderId="1" pivotButton="0" quotePrefix="0" xfId="0"/>
    <xf numFmtId="166" fontId="6" fillId="0" borderId="1" pivotButton="0" quotePrefix="0" xfId="0"/>
    <xf numFmtId="0" fontId="2" fillId="6" borderId="1" pivotButton="0" quotePrefix="0" xfId="0"/>
    <xf numFmtId="166" fontId="2" fillId="6" borderId="1" pivotButton="0" quotePrefix="0" xfId="0"/>
    <xf numFmtId="0" fontId="5" fillId="3" borderId="1" pivotButton="0" quotePrefix="0" xfId="0"/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template</author>
  </authors>
  <commentList>
    <comment ref="B4" authorId="0" shapeId="0">
      <text>
        <t>運転資金の目安（例：月商の1〜2か月分）。記入例の値です。</t>
      </text>
    </comment>
    <comment ref="B8" authorId="0" shapeId="0">
      <text>
        <t>初月のみ手入力（期首の現預金残高）。2か月目以降は自動。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5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>
      <c r="B2" s="1" t="inlineStr">
        <is>
          <t>パターンA：月次資金繰り表（12か月）</t>
        </is>
      </c>
    </row>
    <row r="4">
      <c r="B4" s="2" t="inlineStr">
        <is>
          <t>■ 用途：最も一般的な形式。1年間の資金の出入りを月単位で見通し、資金不足の月を事前に把握します。</t>
        </is>
      </c>
    </row>
    <row r="5">
      <c r="B5" s="2" t="inlineStr">
        <is>
          <t>■ 構成：「経常収支」「経常外収支」「財務収支」の三区分（中小企業・金融機関で標準的な形）。</t>
        </is>
      </c>
    </row>
    <row r="6">
      <c r="B6" s="2" t="inlineStr">
        <is>
          <t>■ 手順</t>
        </is>
      </c>
    </row>
    <row r="7">
      <c r="B7" s="3" t="inlineStr">
        <is>
          <t xml:space="preserve">  1. 「資金繰り表（月次）」シートの B3 に開始年月、B4 に最低必要残高を入力</t>
        </is>
      </c>
    </row>
    <row r="8">
      <c r="B8" s="3" t="inlineStr">
        <is>
          <t xml:space="preserve">  2. B8（初月の前月繰越）に期首の現預金残高を入力</t>
        </is>
      </c>
    </row>
    <row r="9">
      <c r="B9" s="3" t="inlineStr">
        <is>
          <t xml:space="preserve">  3. 各月の黄色セルに、収入・支出の予定額を入力（2か月目以降の繰越は自動計算）</t>
        </is>
      </c>
    </row>
    <row r="10">
      <c r="B10" s="3" t="inlineStr">
        <is>
          <t xml:space="preserve">  4. 翌月繰越がマイナス／最低必要残高未満の月は赤表示 → 借入・支払条件の見直し等を検討</t>
        </is>
      </c>
    </row>
    <row r="11">
      <c r="B11" s="2" t="inlineStr">
        <is>
          <t>■ 科目名は自社に合わせて書き換えて構いません（A列）。行を挿入した場合は「計」の範囲を確認してください。</t>
        </is>
      </c>
    </row>
    <row r="13">
      <c r="B13" s="4" t="inlineStr">
        <is>
          <t>入力セル（黄色・青字）</t>
        </is>
      </c>
    </row>
    <row r="14">
      <c r="B14" s="5" t="inlineStr">
        <is>
          <t>計算式セル（白・黒字）＝触らない</t>
        </is>
      </c>
    </row>
    <row r="15">
      <c r="B15" s="6" t="inlineStr">
        <is>
          <t>残高が「最低必要残高」を下回ると赤く表示されます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</cols>
  <sheetData>
    <row r="1">
      <c r="A1" s="1" t="inlineStr">
        <is>
          <t>資金繰り表（月次・12か月）</t>
        </is>
      </c>
    </row>
    <row r="2">
      <c r="A2" s="7" t="inlineStr">
        <is>
          <t>会社名</t>
        </is>
      </c>
      <c r="B2" s="4" t="inlineStr"/>
    </row>
    <row r="3">
      <c r="A3" s="7" t="inlineStr">
        <is>
          <t>開始年月</t>
        </is>
      </c>
      <c r="B3" s="8" t="n">
        <v>46113</v>
      </c>
    </row>
    <row r="4">
      <c r="A4" s="7" t="inlineStr">
        <is>
          <t>最低必要残高（円）</t>
        </is>
      </c>
      <c r="B4" s="9" t="n">
        <v>1000000</v>
      </c>
    </row>
    <row r="5">
      <c r="A5" s="10" t="inlineStr">
        <is>
          <t>単位：円</t>
        </is>
      </c>
    </row>
    <row r="7">
      <c r="A7" s="11" t="inlineStr">
        <is>
          <t>科目</t>
        </is>
      </c>
      <c r="B7" s="12">
        <f>EDATE($B$3,0)</f>
        <v/>
      </c>
      <c r="C7" s="12">
        <f>EDATE($B$3,1)</f>
        <v/>
      </c>
      <c r="D7" s="12">
        <f>EDATE($B$3,2)</f>
        <v/>
      </c>
      <c r="E7" s="12">
        <f>EDATE($B$3,3)</f>
        <v/>
      </c>
      <c r="F7" s="12">
        <f>EDATE($B$3,4)</f>
        <v/>
      </c>
      <c r="G7" s="12">
        <f>EDATE($B$3,5)</f>
        <v/>
      </c>
      <c r="H7" s="12">
        <f>EDATE($B$3,6)</f>
        <v/>
      </c>
      <c r="I7" s="12">
        <f>EDATE($B$3,7)</f>
        <v/>
      </c>
      <c r="J7" s="12">
        <f>EDATE($B$3,8)</f>
        <v/>
      </c>
      <c r="K7" s="12">
        <f>EDATE($B$3,9)</f>
        <v/>
      </c>
      <c r="L7" s="12">
        <f>EDATE($B$3,10)</f>
        <v/>
      </c>
      <c r="M7" s="12">
        <f>EDATE($B$3,11)</f>
        <v/>
      </c>
      <c r="N7" s="11" t="inlineStr">
        <is>
          <t>合計</t>
        </is>
      </c>
    </row>
    <row r="8">
      <c r="A8" s="13" t="inlineStr">
        <is>
          <t>前月繰越（月初残高）</t>
        </is>
      </c>
      <c r="B8" s="9" t="n">
        <v>2000000</v>
      </c>
      <c r="C8" s="14">
        <f>B47</f>
        <v/>
      </c>
      <c r="D8" s="14">
        <f>C47</f>
        <v/>
      </c>
      <c r="E8" s="14">
        <f>D47</f>
        <v/>
      </c>
      <c r="F8" s="14">
        <f>E47</f>
        <v/>
      </c>
      <c r="G8" s="14">
        <f>F47</f>
        <v/>
      </c>
      <c r="H8" s="14">
        <f>G47</f>
        <v/>
      </c>
      <c r="I8" s="14">
        <f>H47</f>
        <v/>
      </c>
      <c r="J8" s="14">
        <f>I47</f>
        <v/>
      </c>
      <c r="K8" s="14">
        <f>J47</f>
        <v/>
      </c>
      <c r="L8" s="14">
        <f>K47</f>
        <v/>
      </c>
      <c r="M8" s="14">
        <f>L47</f>
        <v/>
      </c>
      <c r="N8" s="14">
        <f>B8</f>
        <v/>
      </c>
    </row>
    <row r="9">
      <c r="A9" s="15" t="inlineStr">
        <is>
          <t>経常収支</t>
        </is>
      </c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</row>
    <row r="10">
      <c r="A10" s="5" t="inlineStr">
        <is>
          <t xml:space="preserve">  収入｜現金売上</t>
        </is>
      </c>
      <c r="B10" s="9" t="n">
        <v>300000</v>
      </c>
      <c r="C10" s="9" t="n"/>
      <c r="D10" s="9" t="n"/>
      <c r="E10" s="9" t="n"/>
      <c r="F10" s="9" t="n"/>
      <c r="G10" s="9" t="n"/>
      <c r="H10" s="9" t="n"/>
      <c r="I10" s="9" t="n"/>
      <c r="J10" s="9" t="n"/>
      <c r="K10" s="9" t="n"/>
      <c r="L10" s="9" t="n"/>
      <c r="M10" s="9" t="n"/>
      <c r="N10" s="17">
        <f>SUM(B10:M10)</f>
        <v/>
      </c>
    </row>
    <row r="11">
      <c r="A11" s="5" t="inlineStr">
        <is>
          <t xml:space="preserve">  収入｜売掛金回収</t>
        </is>
      </c>
      <c r="B11" s="9" t="n">
        <v>2500000</v>
      </c>
      <c r="C11" s="9" t="n"/>
      <c r="D11" s="9" t="n"/>
      <c r="E11" s="9" t="n"/>
      <c r="F11" s="9" t="n"/>
      <c r="G11" s="9" t="n"/>
      <c r="H11" s="9" t="n"/>
      <c r="I11" s="9" t="n"/>
      <c r="J11" s="9" t="n"/>
      <c r="K11" s="9" t="n"/>
      <c r="L11" s="9" t="n"/>
      <c r="M11" s="9" t="n"/>
      <c r="N11" s="17">
        <f>SUM(B11:M11)</f>
        <v/>
      </c>
    </row>
    <row r="12">
      <c r="A12" s="5" t="inlineStr">
        <is>
          <t xml:space="preserve">  収入｜受取手形期日入金</t>
        </is>
      </c>
      <c r="B12" s="9" t="n">
        <v>400000</v>
      </c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17">
        <f>SUM(B12:M12)</f>
        <v/>
      </c>
    </row>
    <row r="13">
      <c r="A13" s="5" t="inlineStr">
        <is>
          <t xml:space="preserve">  収入｜手形割引</t>
        </is>
      </c>
      <c r="B13" s="9" t="n"/>
      <c r="C13" s="9" t="n"/>
      <c r="D13" s="9" t="n"/>
      <c r="E13" s="9" t="n"/>
      <c r="F13" s="9" t="n"/>
      <c r="G13" s="9" t="n"/>
      <c r="H13" s="9" t="n"/>
      <c r="I13" s="9" t="n"/>
      <c r="J13" s="9" t="n"/>
      <c r="K13" s="9" t="n"/>
      <c r="L13" s="9" t="n"/>
      <c r="M13" s="9" t="n"/>
      <c r="N13" s="17">
        <f>SUM(B13:M13)</f>
        <v/>
      </c>
    </row>
    <row r="14">
      <c r="A14" s="5" t="inlineStr">
        <is>
          <t xml:space="preserve">  収入｜その他収入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17">
        <f>SUM(B14:M14)</f>
        <v/>
      </c>
    </row>
    <row r="15">
      <c r="A15" s="18" t="inlineStr">
        <is>
          <t xml:space="preserve">  収入 計</t>
        </is>
      </c>
      <c r="B15" s="19">
        <f>SUM(B10:B14)</f>
        <v/>
      </c>
      <c r="C15" s="19">
        <f>SUM(C10:C14)</f>
        <v/>
      </c>
      <c r="D15" s="19">
        <f>SUM(D10:D14)</f>
        <v/>
      </c>
      <c r="E15" s="19">
        <f>SUM(E10:E14)</f>
        <v/>
      </c>
      <c r="F15" s="19">
        <f>SUM(F10:F14)</f>
        <v/>
      </c>
      <c r="G15" s="19">
        <f>SUM(G10:G14)</f>
        <v/>
      </c>
      <c r="H15" s="19">
        <f>SUM(H10:H14)</f>
        <v/>
      </c>
      <c r="I15" s="19">
        <f>SUM(I10:I14)</f>
        <v/>
      </c>
      <c r="J15" s="19">
        <f>SUM(J10:J14)</f>
        <v/>
      </c>
      <c r="K15" s="19">
        <f>SUM(K10:K14)</f>
        <v/>
      </c>
      <c r="L15" s="19">
        <f>SUM(L10:L14)</f>
        <v/>
      </c>
      <c r="M15" s="19">
        <f>SUM(M10:M14)</f>
        <v/>
      </c>
      <c r="N15" s="19">
        <f>SUM(N10:N14)</f>
        <v/>
      </c>
    </row>
    <row r="16">
      <c r="A16" s="5" t="inlineStr">
        <is>
          <t xml:space="preserve">  支出｜現金仕入</t>
        </is>
      </c>
      <c r="B16" s="9" t="n">
        <v>150000</v>
      </c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17">
        <f>SUM(B16:M16)</f>
        <v/>
      </c>
    </row>
    <row r="17">
      <c r="A17" s="5" t="inlineStr">
        <is>
          <t xml:space="preserve">  支出｜買掛金支払</t>
        </is>
      </c>
      <c r="B17" s="9" t="n">
        <v>1300000</v>
      </c>
      <c r="C17" s="9" t="n"/>
      <c r="D17" s="9" t="n"/>
      <c r="E17" s="9" t="n"/>
      <c r="F17" s="9" t="n"/>
      <c r="G17" s="9" t="n"/>
      <c r="H17" s="9" t="n"/>
      <c r="I17" s="9" t="n"/>
      <c r="J17" s="9" t="n"/>
      <c r="K17" s="9" t="n"/>
      <c r="L17" s="9" t="n"/>
      <c r="M17" s="9" t="n"/>
      <c r="N17" s="17">
        <f>SUM(B17:M17)</f>
        <v/>
      </c>
    </row>
    <row r="18">
      <c r="A18" s="5" t="inlineStr">
        <is>
          <t xml:space="preserve">  支出｜支払手形決済</t>
        </is>
      </c>
      <c r="B18" s="9" t="n">
        <v>200000</v>
      </c>
      <c r="C18" s="9" t="n"/>
      <c r="D18" s="9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17">
        <f>SUM(B18:M18)</f>
        <v/>
      </c>
    </row>
    <row r="19">
      <c r="A19" s="5" t="inlineStr">
        <is>
          <t xml:space="preserve">  支出｜人件費（給与・賞与）</t>
        </is>
      </c>
      <c r="B19" s="9" t="n">
        <v>900000</v>
      </c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17">
        <f>SUM(B19:M19)</f>
        <v/>
      </c>
    </row>
    <row r="20">
      <c r="A20" s="5" t="inlineStr">
        <is>
          <t xml:space="preserve">  支出｜法定福利費</t>
        </is>
      </c>
      <c r="B20" s="9" t="n">
        <v>130000</v>
      </c>
      <c r="C20" s="9" t="n"/>
      <c r="D20" s="9" t="n"/>
      <c r="E20" s="9" t="n"/>
      <c r="F20" s="9" t="n"/>
      <c r="G20" s="9" t="n"/>
      <c r="H20" s="9" t="n"/>
      <c r="I20" s="9" t="n"/>
      <c r="J20" s="9" t="n"/>
      <c r="K20" s="9" t="n"/>
      <c r="L20" s="9" t="n"/>
      <c r="M20" s="9" t="n"/>
      <c r="N20" s="17">
        <f>SUM(B20:M20)</f>
        <v/>
      </c>
    </row>
    <row r="21">
      <c r="A21" s="5" t="inlineStr">
        <is>
          <t xml:space="preserve">  支出｜地代家賃</t>
        </is>
      </c>
      <c r="B21" s="9" t="n">
        <v>200000</v>
      </c>
      <c r="C21" s="9" t="n"/>
      <c r="D21" s="9" t="n"/>
      <c r="E21" s="9" t="n"/>
      <c r="F21" s="9" t="n"/>
      <c r="G21" s="9" t="n"/>
      <c r="H21" s="9" t="n"/>
      <c r="I21" s="9" t="n"/>
      <c r="J21" s="9" t="n"/>
      <c r="K21" s="9" t="n"/>
      <c r="L21" s="9" t="n"/>
      <c r="M21" s="9" t="n"/>
      <c r="N21" s="17">
        <f>SUM(B21:M21)</f>
        <v/>
      </c>
    </row>
    <row r="22">
      <c r="A22" s="5" t="inlineStr">
        <is>
          <t xml:space="preserve">  支出｜水道光熱費・通信費</t>
        </is>
      </c>
      <c r="B22" s="9" t="n">
        <v>60000</v>
      </c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  <c r="M22" s="9" t="n"/>
      <c r="N22" s="17">
        <f>SUM(B22:M22)</f>
        <v/>
      </c>
    </row>
    <row r="23">
      <c r="A23" s="5" t="inlineStr">
        <is>
          <t xml:space="preserve">  支出｜その他経費</t>
        </is>
      </c>
      <c r="B23" s="9" t="n">
        <v>180000</v>
      </c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  <c r="M23" s="9" t="n"/>
      <c r="N23" s="17">
        <f>SUM(B23:M23)</f>
        <v/>
      </c>
    </row>
    <row r="24">
      <c r="A24" s="5" t="inlineStr">
        <is>
          <t xml:space="preserve">  支出｜支払利息・割引料</t>
        </is>
      </c>
      <c r="B24" s="9" t="n">
        <v>15000</v>
      </c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17">
        <f>SUM(B24:M24)</f>
        <v/>
      </c>
    </row>
    <row r="25">
      <c r="A25" s="18" t="inlineStr">
        <is>
          <t xml:space="preserve">  支出 計</t>
        </is>
      </c>
      <c r="B25" s="19">
        <f>SUM(B16:B24)</f>
        <v/>
      </c>
      <c r="C25" s="19">
        <f>SUM(C16:C24)</f>
        <v/>
      </c>
      <c r="D25" s="19">
        <f>SUM(D16:D24)</f>
        <v/>
      </c>
      <c r="E25" s="19">
        <f>SUM(E16:E24)</f>
        <v/>
      </c>
      <c r="F25" s="19">
        <f>SUM(F16:F24)</f>
        <v/>
      </c>
      <c r="G25" s="19">
        <f>SUM(G16:G24)</f>
        <v/>
      </c>
      <c r="H25" s="19">
        <f>SUM(H16:H24)</f>
        <v/>
      </c>
      <c r="I25" s="19">
        <f>SUM(I16:I24)</f>
        <v/>
      </c>
      <c r="J25" s="19">
        <f>SUM(J16:J24)</f>
        <v/>
      </c>
      <c r="K25" s="19">
        <f>SUM(K16:K24)</f>
        <v/>
      </c>
      <c r="L25" s="19">
        <f>SUM(L16:L24)</f>
        <v/>
      </c>
      <c r="M25" s="19">
        <f>SUM(M16:M24)</f>
        <v/>
      </c>
      <c r="N25" s="19">
        <f>SUM(N16:N24)</f>
        <v/>
      </c>
    </row>
    <row r="26">
      <c r="A26" s="13" t="inlineStr">
        <is>
          <t>経常収支 差額（収入－支出）</t>
        </is>
      </c>
      <c r="B26" s="14">
        <f>B15-B25</f>
        <v/>
      </c>
      <c r="C26" s="14">
        <f>C15-C25</f>
        <v/>
      </c>
      <c r="D26" s="14">
        <f>D15-D25</f>
        <v/>
      </c>
      <c r="E26" s="14">
        <f>E15-E25</f>
        <v/>
      </c>
      <c r="F26" s="14">
        <f>F15-F25</f>
        <v/>
      </c>
      <c r="G26" s="14">
        <f>G15-G25</f>
        <v/>
      </c>
      <c r="H26" s="14">
        <f>H15-H25</f>
        <v/>
      </c>
      <c r="I26" s="14">
        <f>I15-I25</f>
        <v/>
      </c>
      <c r="J26" s="14">
        <f>J15-J25</f>
        <v/>
      </c>
      <c r="K26" s="14">
        <f>K15-K25</f>
        <v/>
      </c>
      <c r="L26" s="14">
        <f>L15-L25</f>
        <v/>
      </c>
      <c r="M26" s="14">
        <f>M15-M25</f>
        <v/>
      </c>
      <c r="N26" s="14">
        <f>N15-N25</f>
        <v/>
      </c>
    </row>
    <row r="27">
      <c r="A27" s="15" t="inlineStr">
        <is>
          <t>経常外収支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</row>
    <row r="28">
      <c r="A28" s="5" t="inlineStr">
        <is>
          <t xml:space="preserve">  収入｜固定資産売却収入</t>
        </is>
      </c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17">
        <f>SUM(B28:M28)</f>
        <v/>
      </c>
    </row>
    <row r="29">
      <c r="A29" s="5" t="inlineStr">
        <is>
          <t xml:space="preserve">  収入｜保険金・補助金等</t>
        </is>
      </c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17">
        <f>SUM(B29:M29)</f>
        <v/>
      </c>
    </row>
    <row r="30">
      <c r="A30" s="5" t="inlineStr">
        <is>
          <t xml:space="preserve">  収入｜その他</t>
        </is>
      </c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17">
        <f>SUM(B30:M30)</f>
        <v/>
      </c>
    </row>
    <row r="31">
      <c r="A31" s="18" t="inlineStr">
        <is>
          <t xml:space="preserve">  収入 計</t>
        </is>
      </c>
      <c r="B31" s="19">
        <f>SUM(B28:B30)</f>
        <v/>
      </c>
      <c r="C31" s="19">
        <f>SUM(C28:C30)</f>
        <v/>
      </c>
      <c r="D31" s="19">
        <f>SUM(D28:D30)</f>
        <v/>
      </c>
      <c r="E31" s="19">
        <f>SUM(E28:E30)</f>
        <v/>
      </c>
      <c r="F31" s="19">
        <f>SUM(F28:F30)</f>
        <v/>
      </c>
      <c r="G31" s="19">
        <f>SUM(G28:G30)</f>
        <v/>
      </c>
      <c r="H31" s="19">
        <f>SUM(H28:H30)</f>
        <v/>
      </c>
      <c r="I31" s="19">
        <f>SUM(I28:I30)</f>
        <v/>
      </c>
      <c r="J31" s="19">
        <f>SUM(J28:J30)</f>
        <v/>
      </c>
      <c r="K31" s="19">
        <f>SUM(K28:K30)</f>
        <v/>
      </c>
      <c r="L31" s="19">
        <f>SUM(L28:L30)</f>
        <v/>
      </c>
      <c r="M31" s="19">
        <f>SUM(M28:M30)</f>
        <v/>
      </c>
      <c r="N31" s="19">
        <f>SUM(N28:N30)</f>
        <v/>
      </c>
    </row>
    <row r="32">
      <c r="A32" s="5" t="inlineStr">
        <is>
          <t xml:space="preserve">  支出｜設備投資（固定資産購入）</t>
        </is>
      </c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17">
        <f>SUM(B32:M32)</f>
        <v/>
      </c>
    </row>
    <row r="33">
      <c r="A33" s="5" t="inlineStr">
        <is>
          <t xml:space="preserve">  支出｜法人税・消費税等納付</t>
        </is>
      </c>
      <c r="B33" s="9" t="n">
        <v>250000</v>
      </c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17">
        <f>SUM(B33:M33)</f>
        <v/>
      </c>
    </row>
    <row r="34">
      <c r="A34" s="5" t="inlineStr">
        <is>
          <t xml:space="preserve">  支出｜その他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17">
        <f>SUM(B34:M34)</f>
        <v/>
      </c>
    </row>
    <row r="35">
      <c r="A35" s="18" t="inlineStr">
        <is>
          <t xml:space="preserve">  支出 計</t>
        </is>
      </c>
      <c r="B35" s="19">
        <f>SUM(B32:B34)</f>
        <v/>
      </c>
      <c r="C35" s="19">
        <f>SUM(C32:C34)</f>
        <v/>
      </c>
      <c r="D35" s="19">
        <f>SUM(D32:D34)</f>
        <v/>
      </c>
      <c r="E35" s="19">
        <f>SUM(E32:E34)</f>
        <v/>
      </c>
      <c r="F35" s="19">
        <f>SUM(F32:F34)</f>
        <v/>
      </c>
      <c r="G35" s="19">
        <f>SUM(G32:G34)</f>
        <v/>
      </c>
      <c r="H35" s="19">
        <f>SUM(H32:H34)</f>
        <v/>
      </c>
      <c r="I35" s="19">
        <f>SUM(I32:I34)</f>
        <v/>
      </c>
      <c r="J35" s="19">
        <f>SUM(J32:J34)</f>
        <v/>
      </c>
      <c r="K35" s="19">
        <f>SUM(K32:K34)</f>
        <v/>
      </c>
      <c r="L35" s="19">
        <f>SUM(L32:L34)</f>
        <v/>
      </c>
      <c r="M35" s="19">
        <f>SUM(M32:M34)</f>
        <v/>
      </c>
      <c r="N35" s="19">
        <f>SUM(N32:N34)</f>
        <v/>
      </c>
    </row>
    <row r="36">
      <c r="A36" s="13" t="inlineStr">
        <is>
          <t>経常外収支 差額（収入－支出）</t>
        </is>
      </c>
      <c r="B36" s="14">
        <f>B31-B35</f>
        <v/>
      </c>
      <c r="C36" s="14">
        <f>C31-C35</f>
        <v/>
      </c>
      <c r="D36" s="14">
        <f>D31-D35</f>
        <v/>
      </c>
      <c r="E36" s="14">
        <f>E31-E35</f>
        <v/>
      </c>
      <c r="F36" s="14">
        <f>F31-F35</f>
        <v/>
      </c>
      <c r="G36" s="14">
        <f>G31-G35</f>
        <v/>
      </c>
      <c r="H36" s="14">
        <f>H31-H35</f>
        <v/>
      </c>
      <c r="I36" s="14">
        <f>I31-I35</f>
        <v/>
      </c>
      <c r="J36" s="14">
        <f>J31-J35</f>
        <v/>
      </c>
      <c r="K36" s="14">
        <f>K31-K35</f>
        <v/>
      </c>
      <c r="L36" s="14">
        <f>L31-L35</f>
        <v/>
      </c>
      <c r="M36" s="14">
        <f>M31-M35</f>
        <v/>
      </c>
      <c r="N36" s="14">
        <f>N31-N35</f>
        <v/>
      </c>
    </row>
    <row r="37">
      <c r="A37" s="15" t="inlineStr">
        <is>
          <t>財務収支</t>
        </is>
      </c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</row>
    <row r="38">
      <c r="A38" s="5" t="inlineStr">
        <is>
          <t xml:space="preserve">  収入｜借入金</t>
        </is>
      </c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17">
        <f>SUM(B38:M38)</f>
        <v/>
      </c>
    </row>
    <row r="39">
      <c r="A39" s="5" t="inlineStr">
        <is>
          <t xml:space="preserve">  収入｜増資・出資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17">
        <f>SUM(B39:M39)</f>
        <v/>
      </c>
    </row>
    <row r="40">
      <c r="A40" s="5" t="inlineStr">
        <is>
          <t xml:space="preserve">  収入｜その他</t>
        </is>
      </c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17">
        <f>SUM(B40:M40)</f>
        <v/>
      </c>
    </row>
    <row r="41">
      <c r="A41" s="18" t="inlineStr">
        <is>
          <t xml:space="preserve">  収入 計</t>
        </is>
      </c>
      <c r="B41" s="19">
        <f>SUM(B38:B40)</f>
        <v/>
      </c>
      <c r="C41" s="19">
        <f>SUM(C38:C40)</f>
        <v/>
      </c>
      <c r="D41" s="19">
        <f>SUM(D38:D40)</f>
        <v/>
      </c>
      <c r="E41" s="19">
        <f>SUM(E38:E40)</f>
        <v/>
      </c>
      <c r="F41" s="19">
        <f>SUM(F38:F40)</f>
        <v/>
      </c>
      <c r="G41" s="19">
        <f>SUM(G38:G40)</f>
        <v/>
      </c>
      <c r="H41" s="19">
        <f>SUM(H38:H40)</f>
        <v/>
      </c>
      <c r="I41" s="19">
        <f>SUM(I38:I40)</f>
        <v/>
      </c>
      <c r="J41" s="19">
        <f>SUM(J38:J40)</f>
        <v/>
      </c>
      <c r="K41" s="19">
        <f>SUM(K38:K40)</f>
        <v/>
      </c>
      <c r="L41" s="19">
        <f>SUM(L38:L40)</f>
        <v/>
      </c>
      <c r="M41" s="19">
        <f>SUM(M38:M40)</f>
        <v/>
      </c>
      <c r="N41" s="19">
        <f>SUM(N38:N40)</f>
        <v/>
      </c>
    </row>
    <row r="42">
      <c r="A42" s="5" t="inlineStr">
        <is>
          <t xml:space="preserve">  支出｜借入金返済</t>
        </is>
      </c>
      <c r="B42" s="9" t="n">
        <v>150000</v>
      </c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17">
        <f>SUM(B42:M42)</f>
        <v/>
      </c>
    </row>
    <row r="43">
      <c r="A43" s="5" t="inlineStr">
        <is>
          <t xml:space="preserve">  支出｜配当金・役員借入返済</t>
        </is>
      </c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17">
        <f>SUM(B43:M43)</f>
        <v/>
      </c>
    </row>
    <row r="44">
      <c r="A44" s="5" t="inlineStr">
        <is>
          <t xml:space="preserve">  支出｜その他</t>
        </is>
      </c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17">
        <f>SUM(B44:M44)</f>
        <v/>
      </c>
    </row>
    <row r="45">
      <c r="A45" s="18" t="inlineStr">
        <is>
          <t xml:space="preserve">  支出 計</t>
        </is>
      </c>
      <c r="B45" s="19">
        <f>SUM(B42:B44)</f>
        <v/>
      </c>
      <c r="C45" s="19">
        <f>SUM(C42:C44)</f>
        <v/>
      </c>
      <c r="D45" s="19">
        <f>SUM(D42:D44)</f>
        <v/>
      </c>
      <c r="E45" s="19">
        <f>SUM(E42:E44)</f>
        <v/>
      </c>
      <c r="F45" s="19">
        <f>SUM(F42:F44)</f>
        <v/>
      </c>
      <c r="G45" s="19">
        <f>SUM(G42:G44)</f>
        <v/>
      </c>
      <c r="H45" s="19">
        <f>SUM(H42:H44)</f>
        <v/>
      </c>
      <c r="I45" s="19">
        <f>SUM(I42:I44)</f>
        <v/>
      </c>
      <c r="J45" s="19">
        <f>SUM(J42:J44)</f>
        <v/>
      </c>
      <c r="K45" s="19">
        <f>SUM(K42:K44)</f>
        <v/>
      </c>
      <c r="L45" s="19">
        <f>SUM(L42:L44)</f>
        <v/>
      </c>
      <c r="M45" s="19">
        <f>SUM(M42:M44)</f>
        <v/>
      </c>
      <c r="N45" s="19">
        <f>SUM(N42:N44)</f>
        <v/>
      </c>
    </row>
    <row r="46">
      <c r="A46" s="13" t="inlineStr">
        <is>
          <t>財務収支 差額（収入－支出）</t>
        </is>
      </c>
      <c r="B46" s="14">
        <f>B41-B45</f>
        <v/>
      </c>
      <c r="C46" s="14">
        <f>C41-C45</f>
        <v/>
      </c>
      <c r="D46" s="14">
        <f>D41-D45</f>
        <v/>
      </c>
      <c r="E46" s="14">
        <f>E41-E45</f>
        <v/>
      </c>
      <c r="F46" s="14">
        <f>F41-F45</f>
        <v/>
      </c>
      <c r="G46" s="14">
        <f>G41-G45</f>
        <v/>
      </c>
      <c r="H46" s="14">
        <f>H41-H45</f>
        <v/>
      </c>
      <c r="I46" s="14">
        <f>I41-I45</f>
        <v/>
      </c>
      <c r="J46" s="14">
        <f>J41-J45</f>
        <v/>
      </c>
      <c r="K46" s="14">
        <f>K41-K45</f>
        <v/>
      </c>
      <c r="L46" s="14">
        <f>L41-L45</f>
        <v/>
      </c>
      <c r="M46" s="14">
        <f>M41-M45</f>
        <v/>
      </c>
      <c r="N46" s="14">
        <f>N41-N45</f>
        <v/>
      </c>
    </row>
    <row r="47">
      <c r="A47" s="20" t="inlineStr">
        <is>
          <t>翌月繰越（月末残高）</t>
        </is>
      </c>
      <c r="B47" s="14">
        <f>B8+B26+B36+B46</f>
        <v/>
      </c>
      <c r="C47" s="14">
        <f>C8+C26+C36+C46</f>
        <v/>
      </c>
      <c r="D47" s="14">
        <f>D8+D26+D36+D46</f>
        <v/>
      </c>
      <c r="E47" s="14">
        <f>E8+E26+E36+E46</f>
        <v/>
      </c>
      <c r="F47" s="14">
        <f>F8+F26+F36+F46</f>
        <v/>
      </c>
      <c r="G47" s="14">
        <f>G8+G26+G36+G46</f>
        <v/>
      </c>
      <c r="H47" s="14">
        <f>H8+H26+H36+H46</f>
        <v/>
      </c>
      <c r="I47" s="14">
        <f>I8+I26+I36+I46</f>
        <v/>
      </c>
      <c r="J47" s="14">
        <f>J8+J26+J36+J46</f>
        <v/>
      </c>
      <c r="K47" s="14">
        <f>K8+K26+K36+K46</f>
        <v/>
      </c>
      <c r="L47" s="14">
        <f>L8+L26+L36+L46</f>
        <v/>
      </c>
      <c r="M47" s="14">
        <f>M8+M26+M36+M46</f>
        <v/>
      </c>
      <c r="N47" s="14">
        <f>M47</f>
        <v/>
      </c>
    </row>
    <row r="48">
      <c r="A48" s="7" t="inlineStr">
        <is>
          <t>残高判定</t>
        </is>
      </c>
      <c r="B48" s="21">
        <f>IF(B47&lt;$B$4,"要注意","OK")</f>
        <v/>
      </c>
      <c r="C48" s="21">
        <f>IF(C47&lt;$B$4,"要注意","OK")</f>
        <v/>
      </c>
      <c r="D48" s="21">
        <f>IF(D47&lt;$B$4,"要注意","OK")</f>
        <v/>
      </c>
      <c r="E48" s="21">
        <f>IF(E47&lt;$B$4,"要注意","OK")</f>
        <v/>
      </c>
      <c r="F48" s="21">
        <f>IF(F47&lt;$B$4,"要注意","OK")</f>
        <v/>
      </c>
      <c r="G48" s="21">
        <f>IF(G47&lt;$B$4,"要注意","OK")</f>
        <v/>
      </c>
      <c r="H48" s="21">
        <f>IF(H47&lt;$B$4,"要注意","OK")</f>
        <v/>
      </c>
      <c r="I48" s="21">
        <f>IF(I47&lt;$B$4,"要注意","OK")</f>
        <v/>
      </c>
      <c r="J48" s="21">
        <f>IF(J47&lt;$B$4,"要注意","OK")</f>
        <v/>
      </c>
      <c r="K48" s="21">
        <f>IF(K47&lt;$B$4,"要注意","OK")</f>
        <v/>
      </c>
      <c r="L48" s="21">
        <f>IF(L47&lt;$B$4,"要注意","OK")</f>
        <v/>
      </c>
      <c r="M48" s="21">
        <f>IF(M47&lt;$B$4,"要注意","OK")</f>
        <v/>
      </c>
    </row>
    <row r="50">
      <c r="A50" s="10" t="inlineStr">
        <is>
          <t>※B列（1か月目）の数値は記入例です。実際の数値に置き換えてください。</t>
        </is>
      </c>
    </row>
  </sheetData>
  <conditionalFormatting sqref="B47:M48">
    <cfRule type="expression" priority="1" dxfId="0">
      <formula>B$47&lt;$B$4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2026-10-05T07:45:10Z</dcterms:created>
  <dcterms:modified xsi:type="dcterms:W3CDTF">2026-10-05T07:45:10Z</dcterms:modified>
</cp:coreProperties>
</file>