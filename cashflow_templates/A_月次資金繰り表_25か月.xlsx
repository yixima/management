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資金繰り表（月次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&quot;年&quot;m&quot;月&quot;"/>
    <numFmt numFmtId="166" formatCode="#,##0;[Red]-#,##0;&quot;-&quot;"/>
  </numFmts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0000FF"/>
      <sz val="10"/>
    </font>
    <font>
      <name val="游ゴシック"/>
      <sz val="9"/>
    </font>
    <font>
      <name val="游ゴシック"/>
      <b val="1"/>
      <color rgb="00FFFFFF"/>
      <sz val="10"/>
    </font>
    <font>
      <name val="游ゴシック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0" fontId="6" fillId="7" borderId="1" pivotButton="0" quotePrefix="0" xfId="0"/>
    <xf numFmtId="0" fontId="2" fillId="0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6" fontId="2" fillId="4" borderId="1" pivotButton="0" quotePrefix="0" xfId="0"/>
    <xf numFmtId="0" fontId="2" fillId="5" borderId="1" pivotButton="0" quotePrefix="0" xfId="0"/>
    <xf numFmtId="166" fontId="6" fillId="5" borderId="1" pivotButton="0" quotePrefix="0" xfId="0"/>
    <xf numFmtId="166" fontId="6" fillId="0" borderId="1" pivotButton="0" quotePrefix="0" xfId="0"/>
    <xf numFmtId="0" fontId="2" fillId="6" borderId="1" pivotButton="0" quotePrefix="0" xfId="0"/>
    <xf numFmtId="166" fontId="2" fillId="6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  <author>Claude</author>
  </authors>
  <commentList>
    <comment ref="B4" authorId="0" shapeId="0">
      <text>
        <t>運転資金の目安（例：月商の1〜2か月分）を入力。</t>
      </text>
    </comment>
    <comment ref="B8" authorId="0" shapeId="0">
      <text>
        <t>初月のみ手入力（期首の現預金残高）。2か月目以降は自動。</t>
      </text>
    </comment>
    <comment ref="B10" authorId="1" shapeId="0">
      <text>
        <t>出典：Google Drive「業績連動賞与/2025年分/10月」【営業回覧用】業績連動賞与_実績10 の合計行「入金実績」</t>
      </text>
    </comment>
    <comment ref="C10" authorId="1" shapeId="0">
      <text>
        <t>出典：Google Drive「業績連動賞与/2025年分/11月」【営業回覧用】業績連動賞与_実績11 の合計行「入金実績」</t>
      </text>
    </comment>
    <comment ref="D10" authorId="1" shapeId="0">
      <text>
        <t>出典：Google Drive「業績連動賞与/2025年分/12月」【営業回覧用】業績連動賞与_実績12 の合計行「入金実績」</t>
      </text>
    </comment>
    <comment ref="E10" authorId="1" shapeId="0">
      <text>
        <t>出典：Google Drive「業績連動賞与/2026年分/1月」【営業回覧用】業績連動賞与_実績1 の合計行「入金実績」</t>
      </text>
    </comment>
    <comment ref="F10" authorId="1" shapeId="0">
      <text>
        <t>出典：Google Drive「業績連動賞与/2026年分/2月」【営業回覧用】業績連動賞与_実績2 の合計行「入金実績」</t>
      </text>
    </comment>
    <comment ref="G10" authorId="1" shapeId="0">
      <text>
        <t>出典：Google Drive「業績連動賞与/2026年分/3月」【営業回覧用】業績連動賞与_実績3 の合計行「入金実績」</t>
      </text>
    </comment>
    <comment ref="H10" authorId="1" shapeId="0">
      <text>
        <t>出典：Google Drive「業績連動賞与/2026年分/4月」【営業回覧用】業績連動賞与_実績4 の合計行「入金実績」</t>
      </text>
    </comment>
    <comment ref="I10" authorId="1" shapeId="0">
      <text>
        <t>出典：Google Drive「業績連動賞与/2026年分/5月」【営業回覧用】業績連動賞与_実績5 の合計行「入金実績」</t>
      </text>
    </comment>
    <comment ref="J10" authorId="1" shapeId="0">
      <text>
        <t>出典：Google Drive「業績連動賞与/2026年分/6月」【営業回覧用】業績連動賞与_実績6 の合計行「入金実績」</t>
      </text>
    </comment>
    <comment ref="K10" authorId="1" shapeId="0">
      <text>
        <t>出典：Google Drive「業績連動賞与/2026年分/7月」【営業回覧用】業績連動賞与_実績7 の合計行「入金実績」</t>
      </text>
    </comment>
    <comment ref="L10" authorId="1" shapeId="0">
      <text>
        <t>出典：Google Drive「業績連動賞与/2026年分/8月」【営業回覧用】業績連動賞与_実績8 の合計行「入金実績」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パターンA：月次資金繰り表（25か月）</t>
        </is>
      </c>
    </row>
    <row r="4">
      <c r="B4" s="2" t="inlineStr">
        <is>
          <t>■ 用途：最も一般的な形式。25か月間の資金の出入りを月単位で見通し、資金不足の月を事前に把握します。</t>
        </is>
      </c>
    </row>
    <row r="5">
      <c r="B5" s="2" t="inlineStr">
        <is>
          <t>■ 構成：「経常収支」「経常外収支」「財務収支」の三区分（中小企業・金融機関で標準的な形）。</t>
        </is>
      </c>
    </row>
    <row r="6">
      <c r="B6" s="2" t="inlineStr">
        <is>
          <t>■ 手順</t>
        </is>
      </c>
    </row>
    <row r="7">
      <c r="B7" s="3" t="inlineStr">
        <is>
          <t xml:space="preserve">  1. 「資金繰り表（月次）」シートの B3 に開始年月、B4 に最低必要残高を入力</t>
        </is>
      </c>
    </row>
    <row r="8">
      <c r="B8" s="3" t="inlineStr">
        <is>
          <t xml:space="preserve">  2. B8（初月の前月繰越）に期首の現預金残高を入力</t>
        </is>
      </c>
    </row>
    <row r="9">
      <c r="B9" s="3" t="inlineStr">
        <is>
          <t xml:space="preserve">  3. 各月の黄色セルに、収入・支出の予定額を入力（2か月目以降の繰越は自動計算）</t>
        </is>
      </c>
    </row>
    <row r="10">
      <c r="B10" s="3" t="inlineStr">
        <is>
          <t xml:space="preserve">  ※営業収入＝業績連動賞与の集計ファイルの「入金実績」合計（2025年10月〜2026年8月は入力済み）</t>
        </is>
      </c>
    </row>
    <row r="11">
      <c r="B11" s="3" t="inlineStr">
        <is>
          <t xml:space="preserve">  4. 翌月繰越がマイナス／最低必要残高未満の月は赤表示 → 借入・支払条件の見直し等を検討</t>
        </is>
      </c>
    </row>
    <row r="12">
      <c r="B12" s="2" t="inlineStr">
        <is>
          <t>■ 未払金支払：経費の後払い分（カード払い・月末締め翌月払いの外注費・リース料など）の支払額を、実際に口座から出る月に入力します。</t>
        </is>
      </c>
    </row>
    <row r="13">
      <c r="B13" s="2" t="inlineStr">
        <is>
          <t>■ 科目名は自社に合わせて書き換えて構いません（A列）。行を挿入した場合は「計」の範囲を確認してください。</t>
        </is>
      </c>
    </row>
    <row r="15">
      <c r="B15" s="4" t="inlineStr">
        <is>
          <t>入力セル（黄色・青字）</t>
        </is>
      </c>
    </row>
    <row r="16">
      <c r="B16" s="5" t="inlineStr">
        <is>
          <t>計算式セル（白・黒字）＝触らない</t>
        </is>
      </c>
    </row>
    <row r="17">
      <c r="B17" s="6" t="inlineStr">
        <is>
          <t>残高が「最低必要残高」を下回ると赤く表示されます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資金繰り表（月次・25か月）</t>
        </is>
      </c>
    </row>
    <row r="2">
      <c r="A2" s="7" t="inlineStr">
        <is>
          <t>会社名</t>
        </is>
      </c>
      <c r="B2" s="4" t="inlineStr"/>
    </row>
    <row r="3">
      <c r="A3" s="7" t="inlineStr">
        <is>
          <t>開始年月</t>
        </is>
      </c>
      <c r="B3" s="8" t="n">
        <v>45931</v>
      </c>
    </row>
    <row r="4">
      <c r="A4" s="7" t="inlineStr">
        <is>
          <t>最低必要残高（円）</t>
        </is>
      </c>
      <c r="B4" s="9" t="n"/>
    </row>
    <row r="5">
      <c r="A5" s="10" t="inlineStr">
        <is>
          <t>単位：円</t>
        </is>
      </c>
    </row>
    <row r="7">
      <c r="A7" s="11" t="inlineStr">
        <is>
          <t>科目</t>
        </is>
      </c>
      <c r="B7" s="12">
        <f>EDATE($B$3,0)</f>
        <v/>
      </c>
      <c r="C7" s="12">
        <f>EDATE($B$3,1)</f>
        <v/>
      </c>
      <c r="D7" s="12">
        <f>EDATE($B$3,2)</f>
        <v/>
      </c>
      <c r="E7" s="12">
        <f>EDATE($B$3,3)</f>
        <v/>
      </c>
      <c r="F7" s="12">
        <f>EDATE($B$3,4)</f>
        <v/>
      </c>
      <c r="G7" s="12">
        <f>EDATE($B$3,5)</f>
        <v/>
      </c>
      <c r="H7" s="12">
        <f>EDATE($B$3,6)</f>
        <v/>
      </c>
      <c r="I7" s="12">
        <f>EDATE($B$3,7)</f>
        <v/>
      </c>
      <c r="J7" s="12">
        <f>EDATE($B$3,8)</f>
        <v/>
      </c>
      <c r="K7" s="12">
        <f>EDATE($B$3,9)</f>
        <v/>
      </c>
      <c r="L7" s="12">
        <f>EDATE($B$3,10)</f>
        <v/>
      </c>
      <c r="M7" s="12">
        <f>EDATE($B$3,11)</f>
        <v/>
      </c>
      <c r="N7" s="12">
        <f>EDATE($B$3,12)</f>
        <v/>
      </c>
      <c r="O7" s="12">
        <f>EDATE($B$3,13)</f>
        <v/>
      </c>
      <c r="P7" s="12">
        <f>EDATE($B$3,14)</f>
        <v/>
      </c>
      <c r="Q7" s="12">
        <f>EDATE($B$3,15)</f>
        <v/>
      </c>
      <c r="R7" s="12">
        <f>EDATE($B$3,16)</f>
        <v/>
      </c>
      <c r="S7" s="12">
        <f>EDATE($B$3,17)</f>
        <v/>
      </c>
      <c r="T7" s="12">
        <f>EDATE($B$3,18)</f>
        <v/>
      </c>
      <c r="U7" s="12">
        <f>EDATE($B$3,19)</f>
        <v/>
      </c>
      <c r="V7" s="12">
        <f>EDATE($B$3,20)</f>
        <v/>
      </c>
      <c r="W7" s="12">
        <f>EDATE($B$3,21)</f>
        <v/>
      </c>
      <c r="X7" s="12">
        <f>EDATE($B$3,22)</f>
        <v/>
      </c>
      <c r="Y7" s="12">
        <f>EDATE($B$3,23)</f>
        <v/>
      </c>
      <c r="Z7" s="12">
        <f>EDATE($B$3,24)</f>
        <v/>
      </c>
      <c r="AA7" s="11" t="inlineStr">
        <is>
          <t>合計</t>
        </is>
      </c>
    </row>
    <row r="8">
      <c r="A8" s="13" t="inlineStr">
        <is>
          <t>前月繰越（月初残高）</t>
        </is>
      </c>
      <c r="B8" s="9" t="n"/>
      <c r="C8" s="14">
        <f>B48</f>
        <v/>
      </c>
      <c r="D8" s="14">
        <f>C48</f>
        <v/>
      </c>
      <c r="E8" s="14">
        <f>D48</f>
        <v/>
      </c>
      <c r="F8" s="14">
        <f>E48</f>
        <v/>
      </c>
      <c r="G8" s="14">
        <f>F48</f>
        <v/>
      </c>
      <c r="H8" s="14">
        <f>G48</f>
        <v/>
      </c>
      <c r="I8" s="14">
        <f>H48</f>
        <v/>
      </c>
      <c r="J8" s="14">
        <f>I48</f>
        <v/>
      </c>
      <c r="K8" s="14">
        <f>J48</f>
        <v/>
      </c>
      <c r="L8" s="14">
        <f>K48</f>
        <v/>
      </c>
      <c r="M8" s="14">
        <f>L48</f>
        <v/>
      </c>
      <c r="N8" s="14">
        <f>M48</f>
        <v/>
      </c>
      <c r="O8" s="14">
        <f>N48</f>
        <v/>
      </c>
      <c r="P8" s="14">
        <f>O48</f>
        <v/>
      </c>
      <c r="Q8" s="14">
        <f>P48</f>
        <v/>
      </c>
      <c r="R8" s="14">
        <f>Q48</f>
        <v/>
      </c>
      <c r="S8" s="14">
        <f>R48</f>
        <v/>
      </c>
      <c r="T8" s="14">
        <f>S48</f>
        <v/>
      </c>
      <c r="U8" s="14">
        <f>T48</f>
        <v/>
      </c>
      <c r="V8" s="14">
        <f>U48</f>
        <v/>
      </c>
      <c r="W8" s="14">
        <f>V48</f>
        <v/>
      </c>
      <c r="X8" s="14">
        <f>W48</f>
        <v/>
      </c>
      <c r="Y8" s="14">
        <f>X48</f>
        <v/>
      </c>
      <c r="Z8" s="14">
        <f>Y48</f>
        <v/>
      </c>
      <c r="AA8" s="14">
        <f>B8</f>
        <v/>
      </c>
    </row>
    <row r="9">
      <c r="A9" s="15" t="inlineStr">
        <is>
          <t>経常収支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</row>
    <row r="10">
      <c r="A10" s="5" t="inlineStr">
        <is>
          <t xml:space="preserve">  収入｜営業収入</t>
        </is>
      </c>
      <c r="B10" s="9" t="n">
        <v>11571200</v>
      </c>
      <c r="C10" s="9" t="n">
        <v>12729500</v>
      </c>
      <c r="D10" s="9" t="n">
        <v>10817650</v>
      </c>
      <c r="E10" s="9" t="n">
        <v>7592596</v>
      </c>
      <c r="F10" s="9" t="n">
        <v>12008250</v>
      </c>
      <c r="G10" s="9" t="n">
        <v>14734304</v>
      </c>
      <c r="H10" s="9" t="n">
        <v>14492300</v>
      </c>
      <c r="I10" s="9" t="n">
        <v>9738050</v>
      </c>
      <c r="J10" s="9" t="n">
        <v>12227100</v>
      </c>
      <c r="K10" s="9" t="n">
        <v>7979350</v>
      </c>
      <c r="L10" s="9" t="n">
        <v>13590955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17">
        <f>SUM(B10:Z10)</f>
        <v/>
      </c>
    </row>
    <row r="11">
      <c r="A11" s="5" t="inlineStr">
        <is>
          <t xml:space="preserve">  収入｜売掛金回収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17">
        <f>SUM(B11:Z11)</f>
        <v/>
      </c>
    </row>
    <row r="12">
      <c r="A12" s="5" t="inlineStr">
        <is>
          <t xml:space="preserve">  収入｜受取手形期日入金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17">
        <f>SUM(B12:Z12)</f>
        <v/>
      </c>
    </row>
    <row r="13">
      <c r="A13" s="5" t="inlineStr">
        <is>
          <t xml:space="preserve">  収入｜手形割引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17">
        <f>SUM(B13:Z13)</f>
        <v/>
      </c>
    </row>
    <row r="14">
      <c r="A14" s="5" t="inlineStr">
        <is>
          <t xml:space="preserve">  収入｜その他収入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17">
        <f>SUM(B14:Z14)</f>
        <v/>
      </c>
    </row>
    <row r="15">
      <c r="A15" s="18" t="inlineStr">
        <is>
          <t xml:space="preserve">  収入 計</t>
        </is>
      </c>
      <c r="B15" s="19">
        <f>SUM(B10:B14)</f>
        <v/>
      </c>
      <c r="C15" s="19">
        <f>SUM(C10:C14)</f>
        <v/>
      </c>
      <c r="D15" s="19">
        <f>SUM(D10:D14)</f>
        <v/>
      </c>
      <c r="E15" s="19">
        <f>SUM(E10:E14)</f>
        <v/>
      </c>
      <c r="F15" s="19">
        <f>SUM(F10:F14)</f>
        <v/>
      </c>
      <c r="G15" s="19">
        <f>SUM(G10:G14)</f>
        <v/>
      </c>
      <c r="H15" s="19">
        <f>SUM(H10:H14)</f>
        <v/>
      </c>
      <c r="I15" s="19">
        <f>SUM(I10:I14)</f>
        <v/>
      </c>
      <c r="J15" s="19">
        <f>SUM(J10:J14)</f>
        <v/>
      </c>
      <c r="K15" s="19">
        <f>SUM(K10:K14)</f>
        <v/>
      </c>
      <c r="L15" s="19">
        <f>SUM(L10:L14)</f>
        <v/>
      </c>
      <c r="M15" s="19">
        <f>SUM(M10:M14)</f>
        <v/>
      </c>
      <c r="N15" s="19">
        <f>SUM(N10:N14)</f>
        <v/>
      </c>
      <c r="O15" s="19">
        <f>SUM(O10:O14)</f>
        <v/>
      </c>
      <c r="P15" s="19">
        <f>SUM(P10:P14)</f>
        <v/>
      </c>
      <c r="Q15" s="19">
        <f>SUM(Q10:Q14)</f>
        <v/>
      </c>
      <c r="R15" s="19">
        <f>SUM(R10:R14)</f>
        <v/>
      </c>
      <c r="S15" s="19">
        <f>SUM(S10:S14)</f>
        <v/>
      </c>
      <c r="T15" s="19">
        <f>SUM(T10:T14)</f>
        <v/>
      </c>
      <c r="U15" s="19">
        <f>SUM(U10:U14)</f>
        <v/>
      </c>
      <c r="V15" s="19">
        <f>SUM(V10:V14)</f>
        <v/>
      </c>
      <c r="W15" s="19">
        <f>SUM(W10:W14)</f>
        <v/>
      </c>
      <c r="X15" s="19">
        <f>SUM(X10:X14)</f>
        <v/>
      </c>
      <c r="Y15" s="19">
        <f>SUM(Y10:Y14)</f>
        <v/>
      </c>
      <c r="Z15" s="19">
        <f>SUM(Z10:Z14)</f>
        <v/>
      </c>
      <c r="AA15" s="19">
        <f>SUM(AA10:AA14)</f>
        <v/>
      </c>
    </row>
    <row r="16">
      <c r="A16" s="5" t="inlineStr">
        <is>
          <t xml:space="preserve">  支出｜現金仕入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17">
        <f>SUM(B16:Z16)</f>
        <v/>
      </c>
    </row>
    <row r="17">
      <c r="A17" s="5" t="inlineStr">
        <is>
          <t xml:space="preserve">  支出｜買掛金支払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17">
        <f>SUM(B17:Z17)</f>
        <v/>
      </c>
    </row>
    <row r="18">
      <c r="A18" s="5" t="inlineStr">
        <is>
          <t xml:space="preserve">  支出｜支払手形決済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17">
        <f>SUM(B18:Z18)</f>
        <v/>
      </c>
    </row>
    <row r="19">
      <c r="A19" s="5" t="inlineStr">
        <is>
          <t xml:space="preserve">  支出｜未払金支払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17">
        <f>SUM(B19:Z19)</f>
        <v/>
      </c>
    </row>
    <row r="20">
      <c r="A20" s="5" t="inlineStr">
        <is>
          <t xml:space="preserve">  支出｜人件費（給与・賞与）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17">
        <f>SUM(B20:Z20)</f>
        <v/>
      </c>
    </row>
    <row r="21">
      <c r="A21" s="5" t="inlineStr">
        <is>
          <t xml:space="preserve">  支出｜法定福利費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17">
        <f>SUM(B21:Z21)</f>
        <v/>
      </c>
    </row>
    <row r="22">
      <c r="A22" s="5" t="inlineStr">
        <is>
          <t xml:space="preserve">  支出｜地代家賃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17">
        <f>SUM(B22:Z22)</f>
        <v/>
      </c>
    </row>
    <row r="23">
      <c r="A23" s="5" t="inlineStr">
        <is>
          <t xml:space="preserve">  支出｜水道光熱費・通信費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17">
        <f>SUM(B23:Z23)</f>
        <v/>
      </c>
    </row>
    <row r="24">
      <c r="A24" s="5" t="inlineStr">
        <is>
          <t xml:space="preserve">  支出｜その他経費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17">
        <f>SUM(B24:Z24)</f>
        <v/>
      </c>
    </row>
    <row r="25">
      <c r="A25" s="5" t="inlineStr">
        <is>
          <t xml:space="preserve">  支出｜支払利息・割引料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17">
        <f>SUM(B25:Z25)</f>
        <v/>
      </c>
    </row>
    <row r="26">
      <c r="A26" s="18" t="inlineStr">
        <is>
          <t xml:space="preserve">  支出 計</t>
        </is>
      </c>
      <c r="B26" s="19">
        <f>SUM(B16:B25)</f>
        <v/>
      </c>
      <c r="C26" s="19">
        <f>SUM(C16:C25)</f>
        <v/>
      </c>
      <c r="D26" s="19">
        <f>SUM(D16:D25)</f>
        <v/>
      </c>
      <c r="E26" s="19">
        <f>SUM(E16:E25)</f>
        <v/>
      </c>
      <c r="F26" s="19">
        <f>SUM(F16:F25)</f>
        <v/>
      </c>
      <c r="G26" s="19">
        <f>SUM(G16:G25)</f>
        <v/>
      </c>
      <c r="H26" s="19">
        <f>SUM(H16:H25)</f>
        <v/>
      </c>
      <c r="I26" s="19">
        <f>SUM(I16:I25)</f>
        <v/>
      </c>
      <c r="J26" s="19">
        <f>SUM(J16:J25)</f>
        <v/>
      </c>
      <c r="K26" s="19">
        <f>SUM(K16:K25)</f>
        <v/>
      </c>
      <c r="L26" s="19">
        <f>SUM(L16:L25)</f>
        <v/>
      </c>
      <c r="M26" s="19">
        <f>SUM(M16:M25)</f>
        <v/>
      </c>
      <c r="N26" s="19">
        <f>SUM(N16:N25)</f>
        <v/>
      </c>
      <c r="O26" s="19">
        <f>SUM(O16:O25)</f>
        <v/>
      </c>
      <c r="P26" s="19">
        <f>SUM(P16:P25)</f>
        <v/>
      </c>
      <c r="Q26" s="19">
        <f>SUM(Q16:Q25)</f>
        <v/>
      </c>
      <c r="R26" s="19">
        <f>SUM(R16:R25)</f>
        <v/>
      </c>
      <c r="S26" s="19">
        <f>SUM(S16:S25)</f>
        <v/>
      </c>
      <c r="T26" s="19">
        <f>SUM(T16:T25)</f>
        <v/>
      </c>
      <c r="U26" s="19">
        <f>SUM(U16:U25)</f>
        <v/>
      </c>
      <c r="V26" s="19">
        <f>SUM(V16:V25)</f>
        <v/>
      </c>
      <c r="W26" s="19">
        <f>SUM(W16:W25)</f>
        <v/>
      </c>
      <c r="X26" s="19">
        <f>SUM(X16:X25)</f>
        <v/>
      </c>
      <c r="Y26" s="19">
        <f>SUM(Y16:Y25)</f>
        <v/>
      </c>
      <c r="Z26" s="19">
        <f>SUM(Z16:Z25)</f>
        <v/>
      </c>
      <c r="AA26" s="19">
        <f>SUM(AA16:AA25)</f>
        <v/>
      </c>
    </row>
    <row r="27">
      <c r="A27" s="13" t="inlineStr">
        <is>
          <t>経常収支 差額（収入－支出）</t>
        </is>
      </c>
      <c r="B27" s="14">
        <f>B15-B26</f>
        <v/>
      </c>
      <c r="C27" s="14">
        <f>C15-C26</f>
        <v/>
      </c>
      <c r="D27" s="14">
        <f>D15-D26</f>
        <v/>
      </c>
      <c r="E27" s="14">
        <f>E15-E26</f>
        <v/>
      </c>
      <c r="F27" s="14">
        <f>F15-F26</f>
        <v/>
      </c>
      <c r="G27" s="14">
        <f>G15-G26</f>
        <v/>
      </c>
      <c r="H27" s="14">
        <f>H15-H26</f>
        <v/>
      </c>
      <c r="I27" s="14">
        <f>I15-I26</f>
        <v/>
      </c>
      <c r="J27" s="14">
        <f>J15-J26</f>
        <v/>
      </c>
      <c r="K27" s="14">
        <f>K15-K26</f>
        <v/>
      </c>
      <c r="L27" s="14">
        <f>L15-L26</f>
        <v/>
      </c>
      <c r="M27" s="14">
        <f>M15-M26</f>
        <v/>
      </c>
      <c r="N27" s="14">
        <f>N15-N26</f>
        <v/>
      </c>
      <c r="O27" s="14">
        <f>O15-O26</f>
        <v/>
      </c>
      <c r="P27" s="14">
        <f>P15-P26</f>
        <v/>
      </c>
      <c r="Q27" s="14">
        <f>Q15-Q26</f>
        <v/>
      </c>
      <c r="R27" s="14">
        <f>R15-R26</f>
        <v/>
      </c>
      <c r="S27" s="14">
        <f>S15-S26</f>
        <v/>
      </c>
      <c r="T27" s="14">
        <f>T15-T26</f>
        <v/>
      </c>
      <c r="U27" s="14">
        <f>U15-U26</f>
        <v/>
      </c>
      <c r="V27" s="14">
        <f>V15-V26</f>
        <v/>
      </c>
      <c r="W27" s="14">
        <f>W15-W26</f>
        <v/>
      </c>
      <c r="X27" s="14">
        <f>X15-X26</f>
        <v/>
      </c>
      <c r="Y27" s="14">
        <f>Y15-Y26</f>
        <v/>
      </c>
      <c r="Z27" s="14">
        <f>Z15-Z26</f>
        <v/>
      </c>
      <c r="AA27" s="14">
        <f>AA15-AA26</f>
        <v/>
      </c>
    </row>
    <row r="28">
      <c r="A28" s="15" t="inlineStr">
        <is>
          <t>経常外収支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</row>
    <row r="29">
      <c r="A29" s="5" t="inlineStr">
        <is>
          <t xml:space="preserve">  収入｜固定資産売却収入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17">
        <f>SUM(B29:Z29)</f>
        <v/>
      </c>
    </row>
    <row r="30">
      <c r="A30" s="5" t="inlineStr">
        <is>
          <t xml:space="preserve">  収入｜保険金・補助金等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17">
        <f>SUM(B30:Z30)</f>
        <v/>
      </c>
    </row>
    <row r="31">
      <c r="A31" s="5" t="inlineStr">
        <is>
          <t xml:space="preserve">  収入｜その他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17">
        <f>SUM(B31:Z31)</f>
        <v/>
      </c>
    </row>
    <row r="32">
      <c r="A32" s="18" t="inlineStr">
        <is>
          <t xml:space="preserve">  収入 計</t>
        </is>
      </c>
      <c r="B32" s="19">
        <f>SUM(B29:B31)</f>
        <v/>
      </c>
      <c r="C32" s="19">
        <f>SUM(C29:C31)</f>
        <v/>
      </c>
      <c r="D32" s="19">
        <f>SUM(D29:D31)</f>
        <v/>
      </c>
      <c r="E32" s="19">
        <f>SUM(E29:E31)</f>
        <v/>
      </c>
      <c r="F32" s="19">
        <f>SUM(F29:F31)</f>
        <v/>
      </c>
      <c r="G32" s="19">
        <f>SUM(G29:G31)</f>
        <v/>
      </c>
      <c r="H32" s="19">
        <f>SUM(H29:H31)</f>
        <v/>
      </c>
      <c r="I32" s="19">
        <f>SUM(I29:I31)</f>
        <v/>
      </c>
      <c r="J32" s="19">
        <f>SUM(J29:J31)</f>
        <v/>
      </c>
      <c r="K32" s="19">
        <f>SUM(K29:K31)</f>
        <v/>
      </c>
      <c r="L32" s="19">
        <f>SUM(L29:L31)</f>
        <v/>
      </c>
      <c r="M32" s="19">
        <f>SUM(M29:M31)</f>
        <v/>
      </c>
      <c r="N32" s="19">
        <f>SUM(N29:N31)</f>
        <v/>
      </c>
      <c r="O32" s="19">
        <f>SUM(O29:O31)</f>
        <v/>
      </c>
      <c r="P32" s="19">
        <f>SUM(P29:P31)</f>
        <v/>
      </c>
      <c r="Q32" s="19">
        <f>SUM(Q29:Q31)</f>
        <v/>
      </c>
      <c r="R32" s="19">
        <f>SUM(R29:R31)</f>
        <v/>
      </c>
      <c r="S32" s="19">
        <f>SUM(S29:S31)</f>
        <v/>
      </c>
      <c r="T32" s="19">
        <f>SUM(T29:T31)</f>
        <v/>
      </c>
      <c r="U32" s="19">
        <f>SUM(U29:U31)</f>
        <v/>
      </c>
      <c r="V32" s="19">
        <f>SUM(V29:V31)</f>
        <v/>
      </c>
      <c r="W32" s="19">
        <f>SUM(W29:W31)</f>
        <v/>
      </c>
      <c r="X32" s="19">
        <f>SUM(X29:X31)</f>
        <v/>
      </c>
      <c r="Y32" s="19">
        <f>SUM(Y29:Y31)</f>
        <v/>
      </c>
      <c r="Z32" s="19">
        <f>SUM(Z29:Z31)</f>
        <v/>
      </c>
      <c r="AA32" s="19">
        <f>SUM(AA29:AA31)</f>
        <v/>
      </c>
    </row>
    <row r="33">
      <c r="A33" s="5" t="inlineStr">
        <is>
          <t xml:space="preserve">  支出｜設備投資（固定資産購入）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17">
        <f>SUM(B33:Z33)</f>
        <v/>
      </c>
    </row>
    <row r="34">
      <c r="A34" s="5" t="inlineStr">
        <is>
          <t xml:space="preserve">  支出｜法人税・消費税等納付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17">
        <f>SUM(B34:Z34)</f>
        <v/>
      </c>
    </row>
    <row r="35">
      <c r="A35" s="5" t="inlineStr">
        <is>
          <t xml:space="preserve">  支出｜その他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17">
        <f>SUM(B35:Z35)</f>
        <v/>
      </c>
    </row>
    <row r="36">
      <c r="A36" s="18" t="inlineStr">
        <is>
          <t xml:space="preserve">  支出 計</t>
        </is>
      </c>
      <c r="B36" s="19">
        <f>SUM(B33:B35)</f>
        <v/>
      </c>
      <c r="C36" s="19">
        <f>SUM(C33:C35)</f>
        <v/>
      </c>
      <c r="D36" s="19">
        <f>SUM(D33:D35)</f>
        <v/>
      </c>
      <c r="E36" s="19">
        <f>SUM(E33:E35)</f>
        <v/>
      </c>
      <c r="F36" s="19">
        <f>SUM(F33:F35)</f>
        <v/>
      </c>
      <c r="G36" s="19">
        <f>SUM(G33:G35)</f>
        <v/>
      </c>
      <c r="H36" s="19">
        <f>SUM(H33:H35)</f>
        <v/>
      </c>
      <c r="I36" s="19">
        <f>SUM(I33:I35)</f>
        <v/>
      </c>
      <c r="J36" s="19">
        <f>SUM(J33:J35)</f>
        <v/>
      </c>
      <c r="K36" s="19">
        <f>SUM(K33:K35)</f>
        <v/>
      </c>
      <c r="L36" s="19">
        <f>SUM(L33:L35)</f>
        <v/>
      </c>
      <c r="M36" s="19">
        <f>SUM(M33:M35)</f>
        <v/>
      </c>
      <c r="N36" s="19">
        <f>SUM(N33:N35)</f>
        <v/>
      </c>
      <c r="O36" s="19">
        <f>SUM(O33:O35)</f>
        <v/>
      </c>
      <c r="P36" s="19">
        <f>SUM(P33:P35)</f>
        <v/>
      </c>
      <c r="Q36" s="19">
        <f>SUM(Q33:Q35)</f>
        <v/>
      </c>
      <c r="R36" s="19">
        <f>SUM(R33:R35)</f>
        <v/>
      </c>
      <c r="S36" s="19">
        <f>SUM(S33:S35)</f>
        <v/>
      </c>
      <c r="T36" s="19">
        <f>SUM(T33:T35)</f>
        <v/>
      </c>
      <c r="U36" s="19">
        <f>SUM(U33:U35)</f>
        <v/>
      </c>
      <c r="V36" s="19">
        <f>SUM(V33:V35)</f>
        <v/>
      </c>
      <c r="W36" s="19">
        <f>SUM(W33:W35)</f>
        <v/>
      </c>
      <c r="X36" s="19">
        <f>SUM(X33:X35)</f>
        <v/>
      </c>
      <c r="Y36" s="19">
        <f>SUM(Y33:Y35)</f>
        <v/>
      </c>
      <c r="Z36" s="19">
        <f>SUM(Z33:Z35)</f>
        <v/>
      </c>
      <c r="AA36" s="19">
        <f>SUM(AA33:AA35)</f>
        <v/>
      </c>
    </row>
    <row r="37">
      <c r="A37" s="13" t="inlineStr">
        <is>
          <t>経常外収支 差額（収入－支出）</t>
        </is>
      </c>
      <c r="B37" s="14">
        <f>B32-B36</f>
        <v/>
      </c>
      <c r="C37" s="14">
        <f>C32-C36</f>
        <v/>
      </c>
      <c r="D37" s="14">
        <f>D32-D36</f>
        <v/>
      </c>
      <c r="E37" s="14">
        <f>E32-E36</f>
        <v/>
      </c>
      <c r="F37" s="14">
        <f>F32-F36</f>
        <v/>
      </c>
      <c r="G37" s="14">
        <f>G32-G36</f>
        <v/>
      </c>
      <c r="H37" s="14">
        <f>H32-H36</f>
        <v/>
      </c>
      <c r="I37" s="14">
        <f>I32-I36</f>
        <v/>
      </c>
      <c r="J37" s="14">
        <f>J32-J36</f>
        <v/>
      </c>
      <c r="K37" s="14">
        <f>K32-K36</f>
        <v/>
      </c>
      <c r="L37" s="14">
        <f>L32-L36</f>
        <v/>
      </c>
      <c r="M37" s="14">
        <f>M32-M36</f>
        <v/>
      </c>
      <c r="N37" s="14">
        <f>N32-N36</f>
        <v/>
      </c>
      <c r="O37" s="14">
        <f>O32-O36</f>
        <v/>
      </c>
      <c r="P37" s="14">
        <f>P32-P36</f>
        <v/>
      </c>
      <c r="Q37" s="14">
        <f>Q32-Q36</f>
        <v/>
      </c>
      <c r="R37" s="14">
        <f>R32-R36</f>
        <v/>
      </c>
      <c r="S37" s="14">
        <f>S32-S36</f>
        <v/>
      </c>
      <c r="T37" s="14">
        <f>T32-T36</f>
        <v/>
      </c>
      <c r="U37" s="14">
        <f>U32-U36</f>
        <v/>
      </c>
      <c r="V37" s="14">
        <f>V32-V36</f>
        <v/>
      </c>
      <c r="W37" s="14">
        <f>W32-W36</f>
        <v/>
      </c>
      <c r="X37" s="14">
        <f>X32-X36</f>
        <v/>
      </c>
      <c r="Y37" s="14">
        <f>Y32-Y36</f>
        <v/>
      </c>
      <c r="Z37" s="14">
        <f>Z32-Z36</f>
        <v/>
      </c>
      <c r="AA37" s="14">
        <f>AA32-AA36</f>
        <v/>
      </c>
    </row>
    <row r="38">
      <c r="A38" s="15" t="inlineStr">
        <is>
          <t>財務収支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</row>
    <row r="39">
      <c r="A39" s="5" t="inlineStr">
        <is>
          <t xml:space="preserve">  収入｜借入金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17">
        <f>SUM(B39:Z39)</f>
        <v/>
      </c>
    </row>
    <row r="40">
      <c r="A40" s="5" t="inlineStr">
        <is>
          <t xml:space="preserve">  収入｜増資・出資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17">
        <f>SUM(B40:Z40)</f>
        <v/>
      </c>
    </row>
    <row r="41">
      <c r="A41" s="5" t="inlineStr">
        <is>
          <t xml:space="preserve">  収入｜その他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17">
        <f>SUM(B41:Z41)</f>
        <v/>
      </c>
    </row>
    <row r="42">
      <c r="A42" s="18" t="inlineStr">
        <is>
          <t xml:space="preserve">  収入 計</t>
        </is>
      </c>
      <c r="B42" s="19">
        <f>SUM(B39:B41)</f>
        <v/>
      </c>
      <c r="C42" s="19">
        <f>SUM(C39:C41)</f>
        <v/>
      </c>
      <c r="D42" s="19">
        <f>SUM(D39:D41)</f>
        <v/>
      </c>
      <c r="E42" s="19">
        <f>SUM(E39:E41)</f>
        <v/>
      </c>
      <c r="F42" s="19">
        <f>SUM(F39:F41)</f>
        <v/>
      </c>
      <c r="G42" s="19">
        <f>SUM(G39:G41)</f>
        <v/>
      </c>
      <c r="H42" s="19">
        <f>SUM(H39:H41)</f>
        <v/>
      </c>
      <c r="I42" s="19">
        <f>SUM(I39:I41)</f>
        <v/>
      </c>
      <c r="J42" s="19">
        <f>SUM(J39:J41)</f>
        <v/>
      </c>
      <c r="K42" s="19">
        <f>SUM(K39:K41)</f>
        <v/>
      </c>
      <c r="L42" s="19">
        <f>SUM(L39:L41)</f>
        <v/>
      </c>
      <c r="M42" s="19">
        <f>SUM(M39:M41)</f>
        <v/>
      </c>
      <c r="N42" s="19">
        <f>SUM(N39:N41)</f>
        <v/>
      </c>
      <c r="O42" s="19">
        <f>SUM(O39:O41)</f>
        <v/>
      </c>
      <c r="P42" s="19">
        <f>SUM(P39:P41)</f>
        <v/>
      </c>
      <c r="Q42" s="19">
        <f>SUM(Q39:Q41)</f>
        <v/>
      </c>
      <c r="R42" s="19">
        <f>SUM(R39:R41)</f>
        <v/>
      </c>
      <c r="S42" s="19">
        <f>SUM(S39:S41)</f>
        <v/>
      </c>
      <c r="T42" s="19">
        <f>SUM(T39:T41)</f>
        <v/>
      </c>
      <c r="U42" s="19">
        <f>SUM(U39:U41)</f>
        <v/>
      </c>
      <c r="V42" s="19">
        <f>SUM(V39:V41)</f>
        <v/>
      </c>
      <c r="W42" s="19">
        <f>SUM(W39:W41)</f>
        <v/>
      </c>
      <c r="X42" s="19">
        <f>SUM(X39:X41)</f>
        <v/>
      </c>
      <c r="Y42" s="19">
        <f>SUM(Y39:Y41)</f>
        <v/>
      </c>
      <c r="Z42" s="19">
        <f>SUM(Z39:Z41)</f>
        <v/>
      </c>
      <c r="AA42" s="19">
        <f>SUM(AA39:AA41)</f>
        <v/>
      </c>
    </row>
    <row r="43">
      <c r="A43" s="5" t="inlineStr">
        <is>
          <t xml:space="preserve">  支出｜借入金返済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17">
        <f>SUM(B43:Z43)</f>
        <v/>
      </c>
    </row>
    <row r="44">
      <c r="A44" s="5" t="inlineStr">
        <is>
          <t xml:space="preserve">  支出｜配当金・役員借入返済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17">
        <f>SUM(B44:Z44)</f>
        <v/>
      </c>
    </row>
    <row r="45">
      <c r="A45" s="5" t="inlineStr">
        <is>
          <t xml:space="preserve">  支出｜その他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17">
        <f>SUM(B45:Z45)</f>
        <v/>
      </c>
    </row>
    <row r="46">
      <c r="A46" s="18" t="inlineStr">
        <is>
          <t xml:space="preserve">  支出 計</t>
        </is>
      </c>
      <c r="B46" s="19">
        <f>SUM(B43:B45)</f>
        <v/>
      </c>
      <c r="C46" s="19">
        <f>SUM(C43:C45)</f>
        <v/>
      </c>
      <c r="D46" s="19">
        <f>SUM(D43:D45)</f>
        <v/>
      </c>
      <c r="E46" s="19">
        <f>SUM(E43:E45)</f>
        <v/>
      </c>
      <c r="F46" s="19">
        <f>SUM(F43:F45)</f>
        <v/>
      </c>
      <c r="G46" s="19">
        <f>SUM(G43:G45)</f>
        <v/>
      </c>
      <c r="H46" s="19">
        <f>SUM(H43:H45)</f>
        <v/>
      </c>
      <c r="I46" s="19">
        <f>SUM(I43:I45)</f>
        <v/>
      </c>
      <c r="J46" s="19">
        <f>SUM(J43:J45)</f>
        <v/>
      </c>
      <c r="K46" s="19">
        <f>SUM(K43:K45)</f>
        <v/>
      </c>
      <c r="L46" s="19">
        <f>SUM(L43:L45)</f>
        <v/>
      </c>
      <c r="M46" s="19">
        <f>SUM(M43:M45)</f>
        <v/>
      </c>
      <c r="N46" s="19">
        <f>SUM(N43:N45)</f>
        <v/>
      </c>
      <c r="O46" s="19">
        <f>SUM(O43:O45)</f>
        <v/>
      </c>
      <c r="P46" s="19">
        <f>SUM(P43:P45)</f>
        <v/>
      </c>
      <c r="Q46" s="19">
        <f>SUM(Q43:Q45)</f>
        <v/>
      </c>
      <c r="R46" s="19">
        <f>SUM(R43:R45)</f>
        <v/>
      </c>
      <c r="S46" s="19">
        <f>SUM(S43:S45)</f>
        <v/>
      </c>
      <c r="T46" s="19">
        <f>SUM(T43:T45)</f>
        <v/>
      </c>
      <c r="U46" s="19">
        <f>SUM(U43:U45)</f>
        <v/>
      </c>
      <c r="V46" s="19">
        <f>SUM(V43:V45)</f>
        <v/>
      </c>
      <c r="W46" s="19">
        <f>SUM(W43:W45)</f>
        <v/>
      </c>
      <c r="X46" s="19">
        <f>SUM(X43:X45)</f>
        <v/>
      </c>
      <c r="Y46" s="19">
        <f>SUM(Y43:Y45)</f>
        <v/>
      </c>
      <c r="Z46" s="19">
        <f>SUM(Z43:Z45)</f>
        <v/>
      </c>
      <c r="AA46" s="19">
        <f>SUM(AA43:AA45)</f>
        <v/>
      </c>
    </row>
    <row r="47">
      <c r="A47" s="13" t="inlineStr">
        <is>
          <t>財務収支 差額（収入－支出）</t>
        </is>
      </c>
      <c r="B47" s="14">
        <f>B42-B46</f>
        <v/>
      </c>
      <c r="C47" s="14">
        <f>C42-C46</f>
        <v/>
      </c>
      <c r="D47" s="14">
        <f>D42-D46</f>
        <v/>
      </c>
      <c r="E47" s="14">
        <f>E42-E46</f>
        <v/>
      </c>
      <c r="F47" s="14">
        <f>F42-F46</f>
        <v/>
      </c>
      <c r="G47" s="14">
        <f>G42-G46</f>
        <v/>
      </c>
      <c r="H47" s="14">
        <f>H42-H46</f>
        <v/>
      </c>
      <c r="I47" s="14">
        <f>I42-I46</f>
        <v/>
      </c>
      <c r="J47" s="14">
        <f>J42-J46</f>
        <v/>
      </c>
      <c r="K47" s="14">
        <f>K42-K46</f>
        <v/>
      </c>
      <c r="L47" s="14">
        <f>L42-L46</f>
        <v/>
      </c>
      <c r="M47" s="14">
        <f>M42-M46</f>
        <v/>
      </c>
      <c r="N47" s="14">
        <f>N42-N46</f>
        <v/>
      </c>
      <c r="O47" s="14">
        <f>O42-O46</f>
        <v/>
      </c>
      <c r="P47" s="14">
        <f>P42-P46</f>
        <v/>
      </c>
      <c r="Q47" s="14">
        <f>Q42-Q46</f>
        <v/>
      </c>
      <c r="R47" s="14">
        <f>R42-R46</f>
        <v/>
      </c>
      <c r="S47" s="14">
        <f>S42-S46</f>
        <v/>
      </c>
      <c r="T47" s="14">
        <f>T42-T46</f>
        <v/>
      </c>
      <c r="U47" s="14">
        <f>U42-U46</f>
        <v/>
      </c>
      <c r="V47" s="14">
        <f>V42-V46</f>
        <v/>
      </c>
      <c r="W47" s="14">
        <f>W42-W46</f>
        <v/>
      </c>
      <c r="X47" s="14">
        <f>X42-X46</f>
        <v/>
      </c>
      <c r="Y47" s="14">
        <f>Y42-Y46</f>
        <v/>
      </c>
      <c r="Z47" s="14">
        <f>Z42-Z46</f>
        <v/>
      </c>
      <c r="AA47" s="14">
        <f>AA42-AA46</f>
        <v/>
      </c>
    </row>
    <row r="48">
      <c r="A48" s="20" t="inlineStr">
        <is>
          <t>翌月繰越（月末残高）</t>
        </is>
      </c>
      <c r="B48" s="14">
        <f>B8+B27+B37+B47</f>
        <v/>
      </c>
      <c r="C48" s="14">
        <f>C8+C27+C37+C47</f>
        <v/>
      </c>
      <c r="D48" s="14">
        <f>D8+D27+D37+D47</f>
        <v/>
      </c>
      <c r="E48" s="14">
        <f>E8+E27+E37+E47</f>
        <v/>
      </c>
      <c r="F48" s="14">
        <f>F8+F27+F37+F47</f>
        <v/>
      </c>
      <c r="G48" s="14">
        <f>G8+G27+G37+G47</f>
        <v/>
      </c>
      <c r="H48" s="14">
        <f>H8+H27+H37+H47</f>
        <v/>
      </c>
      <c r="I48" s="14">
        <f>I8+I27+I37+I47</f>
        <v/>
      </c>
      <c r="J48" s="14">
        <f>J8+J27+J37+J47</f>
        <v/>
      </c>
      <c r="K48" s="14">
        <f>K8+K27+K37+K47</f>
        <v/>
      </c>
      <c r="L48" s="14">
        <f>L8+L27+L37+L47</f>
        <v/>
      </c>
      <c r="M48" s="14">
        <f>M8+M27+M37+M47</f>
        <v/>
      </c>
      <c r="N48" s="14">
        <f>N8+N27+N37+N47</f>
        <v/>
      </c>
      <c r="O48" s="14">
        <f>O8+O27+O37+O47</f>
        <v/>
      </c>
      <c r="P48" s="14">
        <f>P8+P27+P37+P47</f>
        <v/>
      </c>
      <c r="Q48" s="14">
        <f>Q8+Q27+Q37+Q47</f>
        <v/>
      </c>
      <c r="R48" s="14">
        <f>R8+R27+R37+R47</f>
        <v/>
      </c>
      <c r="S48" s="14">
        <f>S8+S27+S37+S47</f>
        <v/>
      </c>
      <c r="T48" s="14">
        <f>T8+T27+T37+T47</f>
        <v/>
      </c>
      <c r="U48" s="14">
        <f>U8+U27+U37+U47</f>
        <v/>
      </c>
      <c r="V48" s="14">
        <f>V8+V27+V37+V47</f>
        <v/>
      </c>
      <c r="W48" s="14">
        <f>W8+W27+W37+W47</f>
        <v/>
      </c>
      <c r="X48" s="14">
        <f>X8+X27+X37+X47</f>
        <v/>
      </c>
      <c r="Y48" s="14">
        <f>Y8+Y27+Y37+Y47</f>
        <v/>
      </c>
      <c r="Z48" s="14">
        <f>Z8+Z27+Z37+Z47</f>
        <v/>
      </c>
      <c r="AA48" s="14">
        <f>Z48</f>
        <v/>
      </c>
    </row>
    <row r="49">
      <c r="A49" s="7" t="inlineStr">
        <is>
          <t>残高判定</t>
        </is>
      </c>
      <c r="B49" s="21">
        <f>IF(B48&lt;$B$4,"要注意","OK")</f>
        <v/>
      </c>
      <c r="C49" s="21">
        <f>IF(C48&lt;$B$4,"要注意","OK")</f>
        <v/>
      </c>
      <c r="D49" s="21">
        <f>IF(D48&lt;$B$4,"要注意","OK")</f>
        <v/>
      </c>
      <c r="E49" s="21">
        <f>IF(E48&lt;$B$4,"要注意","OK")</f>
        <v/>
      </c>
      <c r="F49" s="21">
        <f>IF(F48&lt;$B$4,"要注意","OK")</f>
        <v/>
      </c>
      <c r="G49" s="21">
        <f>IF(G48&lt;$B$4,"要注意","OK")</f>
        <v/>
      </c>
      <c r="H49" s="21">
        <f>IF(H48&lt;$B$4,"要注意","OK")</f>
        <v/>
      </c>
      <c r="I49" s="21">
        <f>IF(I48&lt;$B$4,"要注意","OK")</f>
        <v/>
      </c>
      <c r="J49" s="21">
        <f>IF(J48&lt;$B$4,"要注意","OK")</f>
        <v/>
      </c>
      <c r="K49" s="21">
        <f>IF(K48&lt;$B$4,"要注意","OK")</f>
        <v/>
      </c>
      <c r="L49" s="21">
        <f>IF(L48&lt;$B$4,"要注意","OK")</f>
        <v/>
      </c>
      <c r="M49" s="21">
        <f>IF(M48&lt;$B$4,"要注意","OK")</f>
        <v/>
      </c>
      <c r="N49" s="21">
        <f>IF(N48&lt;$B$4,"要注意","OK")</f>
        <v/>
      </c>
      <c r="O49" s="21">
        <f>IF(O48&lt;$B$4,"要注意","OK")</f>
        <v/>
      </c>
      <c r="P49" s="21">
        <f>IF(P48&lt;$B$4,"要注意","OK")</f>
        <v/>
      </c>
      <c r="Q49" s="21">
        <f>IF(Q48&lt;$B$4,"要注意","OK")</f>
        <v/>
      </c>
      <c r="R49" s="21">
        <f>IF(R48&lt;$B$4,"要注意","OK")</f>
        <v/>
      </c>
      <c r="S49" s="21">
        <f>IF(S48&lt;$B$4,"要注意","OK")</f>
        <v/>
      </c>
      <c r="T49" s="21">
        <f>IF(T48&lt;$B$4,"要注意","OK")</f>
        <v/>
      </c>
      <c r="U49" s="21">
        <f>IF(U48&lt;$B$4,"要注意","OK")</f>
        <v/>
      </c>
      <c r="V49" s="21">
        <f>IF(V48&lt;$B$4,"要注意","OK")</f>
        <v/>
      </c>
      <c r="W49" s="21">
        <f>IF(W48&lt;$B$4,"要注意","OK")</f>
        <v/>
      </c>
      <c r="X49" s="21">
        <f>IF(X48&lt;$B$4,"要注意","OK")</f>
        <v/>
      </c>
      <c r="Y49" s="21">
        <f>IF(Y48&lt;$B$4,"要注意","OK")</f>
        <v/>
      </c>
      <c r="Z49" s="21">
        <f>IF(Z48&lt;$B$4,"要注意","OK")</f>
        <v/>
      </c>
    </row>
    <row r="51">
      <c r="A51" s="10" t="inlineStr">
        <is>
          <t>※営業収入の2025年10月〜2026年8月は実績値（各セルのコメントに出典）。2026年9月は集計ファイル未確認のため空欄。</t>
        </is>
      </c>
    </row>
  </sheetData>
  <conditionalFormatting sqref="B48:Z49">
    <cfRule type="expression" priority="1" dxfId="0">
      <formula>B$48&lt;$B$4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2026-10-05T11:36:51Z</dcterms:created>
  <dcterms:modified xsi:type="dcterms:W3CDTF">2026-10-05T11:36:51Z</dcterms:modified>
</cp:coreProperties>
</file>