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資金繰り表（月次）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&quot;年&quot;m&quot;月&quot;"/>
    <numFmt numFmtId="166" formatCode="#,##0;[Red]-#,##0;&quot;-&quot;"/>
  </numFmts>
  <fonts count="7">
    <font>
      <name val="Calibri"/>
      <family val="2"/>
      <color theme="1"/>
      <sz val="11"/>
      <scheme val="minor"/>
    </font>
    <font>
      <name val="游ゴシック"/>
      <b val="1"/>
      <sz val="14"/>
    </font>
    <font>
      <name val="游ゴシック"/>
      <b val="1"/>
      <sz val="10"/>
    </font>
    <font>
      <name val="游ゴシック"/>
      <color rgb="000000FF"/>
      <sz val="10"/>
    </font>
    <font>
      <name val="游ゴシック"/>
      <sz val="9"/>
    </font>
    <font>
      <name val="游ゴシック"/>
      <b val="1"/>
      <color rgb="00FFFFFF"/>
      <sz val="10"/>
    </font>
    <font>
      <name val="游ゴシック"/>
      <sz val="10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2" borderId="1" pivotButton="0" quotePrefix="0" xfId="0"/>
    <xf numFmtId="0" fontId="6" fillId="0" borderId="1" pivotButton="0" quotePrefix="0" xfId="0"/>
    <xf numFmtId="0" fontId="6" fillId="7" borderId="1" pivotButton="0" quotePrefix="0" xfId="0"/>
    <xf numFmtId="0" fontId="2" fillId="0" borderId="1" pivotButton="0" quotePrefix="0" xfId="0"/>
    <xf numFmtId="165" fontId="3" fillId="2" borderId="1" pivotButton="0" quotePrefix="0" xfId="0"/>
    <xf numFmtId="166" fontId="3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0" fontId="2" fillId="4" borderId="1" pivotButton="0" quotePrefix="0" xfId="0"/>
    <xf numFmtId="166" fontId="6" fillId="4" borderId="1" pivotButton="0" quotePrefix="0" xfId="0"/>
    <xf numFmtId="166" fontId="6" fillId="0" borderId="1" pivotButton="0" quotePrefix="0" xfId="0"/>
    <xf numFmtId="0" fontId="2" fillId="5" borderId="1" pivotButton="0" quotePrefix="0" xfId="0"/>
    <xf numFmtId="166" fontId="2" fillId="5" borderId="1" pivotButton="0" quotePrefix="0" xfId="0"/>
    <xf numFmtId="0" fontId="2" fillId="6" borderId="1" pivotButton="0" quotePrefix="0" xfId="0"/>
    <xf numFmtId="166" fontId="2" fillId="6" borderId="1" pivotButton="0" quotePrefix="0" xfId="0"/>
    <xf numFmtId="0" fontId="5" fillId="3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6" fillId="3" borderId="1" pivotButton="0" quotePrefix="0" xfId="0"/>
    <xf numFmtId="0" fontId="6" fillId="4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ont>
        <name val="游ゴシック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  <author>Claude</author>
  </authors>
  <commentList>
    <comment ref="B4" authorId="0" shapeId="0">
      <text>
        <t>運転資金の目安（例：月商の1〜2か月分）を入力。</t>
      </text>
    </comment>
    <comment ref="B9" authorId="1" shapeId="0">
      <text>
        <t>出典：Google Drive「業績連動賞与/2025年分/10月」【営業回覧用】業績連動賞与_実績10 の合計行「入金実績」</t>
      </text>
    </comment>
    <comment ref="C9" authorId="1" shapeId="0">
      <text>
        <t>出典：Google Drive「業績連動賞与/2025年分/11月」【営業回覧用】業績連動賞与_実績11 の合計行「入金実績」</t>
      </text>
    </comment>
    <comment ref="D9" authorId="1" shapeId="0">
      <text>
        <t>出典：Google Drive「業績連動賞与/2025年分/12月」【営業回覧用】業績連動賞与_実績12 の合計行「入金実績」</t>
      </text>
    </comment>
    <comment ref="E9" authorId="1" shapeId="0">
      <text>
        <t>出典：Google Drive「業績連動賞与/2026年分/1月」【営業回覧用】業績連動賞与_実績1 の合計行「入金実績」</t>
      </text>
    </comment>
    <comment ref="F9" authorId="1" shapeId="0">
      <text>
        <t>出典：Google Drive「業績連動賞与/2026年分/2月」【営業回覧用】業績連動賞与_実績2 の合計行「入金実績」</t>
      </text>
    </comment>
    <comment ref="G9" authorId="1" shapeId="0">
      <text>
        <t>出典：Google Drive「業績連動賞与/2026年分/3月」【営業回覧用】業績連動賞与_実績3 の合計行「入金実績」</t>
      </text>
    </comment>
    <comment ref="H9" authorId="1" shapeId="0">
      <text>
        <t>出典：Google Drive「業績連動賞与/2026年分/4月」【営業回覧用】業績連動賞与_実績4 の合計行「入金実績」</t>
      </text>
    </comment>
    <comment ref="I9" authorId="1" shapeId="0">
      <text>
        <t>出典：Google Drive「業績連動賞与/2026年分/5月」【営業回覧用】業績連動賞与_実績5 の合計行「入金実績」</t>
      </text>
    </comment>
    <comment ref="J9" authorId="1" shapeId="0">
      <text>
        <t>出典：Google Drive「業績連動賞与/2026年分/6月」【営業回覧用】業績連動賞与_実績6 の合計行「入金実績」</t>
      </text>
    </comment>
    <comment ref="K9" authorId="1" shapeId="0">
      <text>
        <t>出典：Google Drive「業績連動賞与/2026年分/7月」【営業回覧用】業績連動賞与_実績7 の合計行「入金実績」</t>
      </text>
    </comment>
    <comment ref="L9" authorId="1" shapeId="0">
      <text>
        <t>出典：Google Drive「業績連動賞与/2026年分/8月」【営業回覧用】業績連動賞与_実績8 の合計行「入金実績」</t>
      </text>
    </comment>
    <comment ref="B47" authorId="0" shapeId="0">
      <text>
        <t>初月のみ手入力（期首の現預金残高）。2か月目以降は自動。</t>
      </text>
    </comment>
    <comment ref="B53" authorId="0" shapeId="0">
      <text>
        <t>期首時点で既に滞納がある場合は、その額を初月の「本来の納付額」に上乗せして入力。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パターンA：月次資金繰り表（25か月）</t>
        </is>
      </c>
    </row>
    <row r="4">
      <c r="B4" s="2" t="inlineStr">
        <is>
          <t>■ 用途：最も一般的な形式。25か月間の資金の出入りを月単位で見通し、資金不足の月を事前に把握します。</t>
        </is>
      </c>
    </row>
    <row r="5">
      <c r="B5" s="2" t="inlineStr">
        <is>
          <t>■ 構成：「経常収支」「経常外収支」「財務収支」の三区分（中小企業・金融機関で標準的な形）。</t>
        </is>
      </c>
    </row>
    <row r="6">
      <c r="B6" s="2" t="inlineStr">
        <is>
          <t>■ 手順</t>
        </is>
      </c>
    </row>
    <row r="7">
      <c r="B7" s="3" t="inlineStr">
        <is>
          <t xml:space="preserve">  1. 「資金繰り表（月次）」シートの B3 に開始年月、B4 に最低必要残高を入力</t>
        </is>
      </c>
    </row>
    <row r="8">
      <c r="B8" s="3" t="inlineStr">
        <is>
          <t xml:space="preserve">  2. 下部の「前月繰越」行の B47（初月）に期首の現預金残高を入力</t>
        </is>
      </c>
    </row>
    <row r="9">
      <c r="B9" s="3" t="inlineStr">
        <is>
          <t xml:space="preserve">  3. 各月の黄色セルに、収入・支出の予定額を入力（2か月目以降の繰越は自動計算）</t>
        </is>
      </c>
    </row>
    <row r="10">
      <c r="B10" s="3" t="inlineStr">
        <is>
          <t xml:space="preserve">  5. 社会保険料・住民税を払えなかった月は、下部「滞納管理」に本来の納付額と実際の納付額を入力 → 滞納残高・実質残高が自動計算</t>
        </is>
      </c>
    </row>
    <row r="11">
      <c r="B11" s="3" t="inlineStr">
        <is>
          <t xml:space="preserve">  ※営業収入＝業績連動賞与の集計ファイルの「入金実績」合計（2025年10月〜2026年8月は入力済み）</t>
        </is>
      </c>
    </row>
    <row r="12">
      <c r="B12" s="3" t="inlineStr">
        <is>
          <t xml:space="preserve">  4. 翌月繰越がマイナス／最低必要残高未満の月は赤表示 → 借入・支払条件の見直し等を検討</t>
        </is>
      </c>
    </row>
    <row r="13">
      <c r="B13" s="2" t="inlineStr">
        <is>
          <t>■ 未払金支払：経費の後払い分（カード払い・月末締め翌月払いの外注費・リース料など）の支払額を、実際に口座から出る月に入力します。</t>
        </is>
      </c>
    </row>
    <row r="14">
      <c r="B14" s="2" t="inlineStr">
        <is>
          <t>■ 科目名は自社に合わせて書き換えて構いません（A列）。行を挿入した場合は「計」の範囲を確認してください。</t>
        </is>
      </c>
    </row>
    <row r="16">
      <c r="B16" s="4" t="inlineStr">
        <is>
          <t>入力セル（黄色・青字）</t>
        </is>
      </c>
    </row>
    <row r="17">
      <c r="B17" s="5" t="inlineStr">
        <is>
          <t>計算式セル（白・黒字）＝触らない</t>
        </is>
      </c>
    </row>
    <row r="18">
      <c r="B18" s="6" t="inlineStr">
        <is>
          <t>残高が「最低必要残高」を下回ると赤く表示されます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4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>
      <c r="A1" s="1" t="inlineStr">
        <is>
          <t>資金繰り表（月次・25か月）</t>
        </is>
      </c>
    </row>
    <row r="2">
      <c r="A2" s="7" t="inlineStr">
        <is>
          <t>会社名</t>
        </is>
      </c>
      <c r="B2" s="4" t="inlineStr"/>
    </row>
    <row r="3">
      <c r="A3" s="7" t="inlineStr">
        <is>
          <t>開始年月</t>
        </is>
      </c>
      <c r="B3" s="8" t="n">
        <v>45931</v>
      </c>
    </row>
    <row r="4">
      <c r="A4" s="7" t="inlineStr">
        <is>
          <t>最低必要残高（円）</t>
        </is>
      </c>
      <c r="B4" s="9" t="n"/>
    </row>
    <row r="5">
      <c r="A5" s="10" t="inlineStr">
        <is>
          <t>単位：円</t>
        </is>
      </c>
    </row>
    <row r="7">
      <c r="A7" s="11" t="inlineStr">
        <is>
          <t>科目</t>
        </is>
      </c>
      <c r="B7" s="12">
        <f>EDATE($B$3,0)</f>
        <v/>
      </c>
      <c r="C7" s="12">
        <f>EDATE($B$3,1)</f>
        <v/>
      </c>
      <c r="D7" s="12">
        <f>EDATE($B$3,2)</f>
        <v/>
      </c>
      <c r="E7" s="12">
        <f>EDATE($B$3,3)</f>
        <v/>
      </c>
      <c r="F7" s="12">
        <f>EDATE($B$3,4)</f>
        <v/>
      </c>
      <c r="G7" s="12">
        <f>EDATE($B$3,5)</f>
        <v/>
      </c>
      <c r="H7" s="12">
        <f>EDATE($B$3,6)</f>
        <v/>
      </c>
      <c r="I7" s="12">
        <f>EDATE($B$3,7)</f>
        <v/>
      </c>
      <c r="J7" s="12">
        <f>EDATE($B$3,8)</f>
        <v/>
      </c>
      <c r="K7" s="12">
        <f>EDATE($B$3,9)</f>
        <v/>
      </c>
      <c r="L7" s="12">
        <f>EDATE($B$3,10)</f>
        <v/>
      </c>
      <c r="M7" s="12">
        <f>EDATE($B$3,11)</f>
        <v/>
      </c>
      <c r="N7" s="12">
        <f>EDATE($B$3,12)</f>
        <v/>
      </c>
      <c r="O7" s="12">
        <f>EDATE($B$3,13)</f>
        <v/>
      </c>
      <c r="P7" s="12">
        <f>EDATE($B$3,14)</f>
        <v/>
      </c>
      <c r="Q7" s="12">
        <f>EDATE($B$3,15)</f>
        <v/>
      </c>
      <c r="R7" s="12">
        <f>EDATE($B$3,16)</f>
        <v/>
      </c>
      <c r="S7" s="12">
        <f>EDATE($B$3,17)</f>
        <v/>
      </c>
      <c r="T7" s="12">
        <f>EDATE($B$3,18)</f>
        <v/>
      </c>
      <c r="U7" s="12">
        <f>EDATE($B$3,19)</f>
        <v/>
      </c>
      <c r="V7" s="12">
        <f>EDATE($B$3,20)</f>
        <v/>
      </c>
      <c r="W7" s="12">
        <f>EDATE($B$3,21)</f>
        <v/>
      </c>
      <c r="X7" s="12">
        <f>EDATE($B$3,22)</f>
        <v/>
      </c>
      <c r="Y7" s="12">
        <f>EDATE($B$3,23)</f>
        <v/>
      </c>
      <c r="Z7" s="12">
        <f>EDATE($B$3,24)</f>
        <v/>
      </c>
      <c r="AA7" s="11" t="inlineStr">
        <is>
          <t>合計</t>
        </is>
      </c>
    </row>
    <row r="8">
      <c r="A8" s="13" t="inlineStr">
        <is>
          <t>経常収支</t>
        </is>
      </c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  <c r="AA8" s="14" t="n"/>
    </row>
    <row r="9">
      <c r="A9" s="5" t="inlineStr">
        <is>
          <t xml:space="preserve">  収入｜営業収入</t>
        </is>
      </c>
      <c r="B9" s="9" t="n">
        <v>11571200</v>
      </c>
      <c r="C9" s="9" t="n">
        <v>12729500</v>
      </c>
      <c r="D9" s="9" t="n">
        <v>10817650</v>
      </c>
      <c r="E9" s="9" t="n">
        <v>7592596</v>
      </c>
      <c r="F9" s="9" t="n">
        <v>12008250</v>
      </c>
      <c r="G9" s="9" t="n">
        <v>14734304</v>
      </c>
      <c r="H9" s="9" t="n">
        <v>14492300</v>
      </c>
      <c r="I9" s="9" t="n">
        <v>9738050</v>
      </c>
      <c r="J9" s="9" t="n">
        <v>12227100</v>
      </c>
      <c r="K9" s="9" t="n">
        <v>7979350</v>
      </c>
      <c r="L9" s="9" t="n">
        <v>13590955</v>
      </c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15">
        <f>SUM(B9:Z9)</f>
        <v/>
      </c>
    </row>
    <row r="10">
      <c r="A10" s="5" t="inlineStr">
        <is>
          <t xml:space="preserve">  収入｜売掛金回収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15">
        <f>SUM(B10:Z10)</f>
        <v/>
      </c>
    </row>
    <row r="11">
      <c r="A11" s="5" t="inlineStr">
        <is>
          <t xml:space="preserve">  収入｜受取手形期日入金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15">
        <f>SUM(B11:Z11)</f>
        <v/>
      </c>
    </row>
    <row r="12">
      <c r="A12" s="5" t="inlineStr">
        <is>
          <t xml:space="preserve">  収入｜手形割引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15">
        <f>SUM(B12:Z12)</f>
        <v/>
      </c>
    </row>
    <row r="13">
      <c r="A13" s="5" t="inlineStr">
        <is>
          <t xml:space="preserve">  収入｜その他収入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15">
        <f>SUM(B13:Z13)</f>
        <v/>
      </c>
    </row>
    <row r="14">
      <c r="A14" s="16" t="inlineStr">
        <is>
          <t xml:space="preserve">  収入 計</t>
        </is>
      </c>
      <c r="B14" s="17">
        <f>SUM(B9:B13)</f>
        <v/>
      </c>
      <c r="C14" s="17">
        <f>SUM(C9:C13)</f>
        <v/>
      </c>
      <c r="D14" s="17">
        <f>SUM(D9:D13)</f>
        <v/>
      </c>
      <c r="E14" s="17">
        <f>SUM(E9:E13)</f>
        <v/>
      </c>
      <c r="F14" s="17">
        <f>SUM(F9:F13)</f>
        <v/>
      </c>
      <c r="G14" s="17">
        <f>SUM(G9:G13)</f>
        <v/>
      </c>
      <c r="H14" s="17">
        <f>SUM(H9:H13)</f>
        <v/>
      </c>
      <c r="I14" s="17">
        <f>SUM(I9:I13)</f>
        <v/>
      </c>
      <c r="J14" s="17">
        <f>SUM(J9:J13)</f>
        <v/>
      </c>
      <c r="K14" s="17">
        <f>SUM(K9:K13)</f>
        <v/>
      </c>
      <c r="L14" s="17">
        <f>SUM(L9:L13)</f>
        <v/>
      </c>
      <c r="M14" s="17">
        <f>SUM(M9:M13)</f>
        <v/>
      </c>
      <c r="N14" s="17">
        <f>SUM(N9:N13)</f>
        <v/>
      </c>
      <c r="O14" s="17">
        <f>SUM(O9:O13)</f>
        <v/>
      </c>
      <c r="P14" s="17">
        <f>SUM(P9:P13)</f>
        <v/>
      </c>
      <c r="Q14" s="17">
        <f>SUM(Q9:Q13)</f>
        <v/>
      </c>
      <c r="R14" s="17">
        <f>SUM(R9:R13)</f>
        <v/>
      </c>
      <c r="S14" s="17">
        <f>SUM(S9:S13)</f>
        <v/>
      </c>
      <c r="T14" s="17">
        <f>SUM(T9:T13)</f>
        <v/>
      </c>
      <c r="U14" s="17">
        <f>SUM(U9:U13)</f>
        <v/>
      </c>
      <c r="V14" s="17">
        <f>SUM(V9:V13)</f>
        <v/>
      </c>
      <c r="W14" s="17">
        <f>SUM(W9:W13)</f>
        <v/>
      </c>
      <c r="X14" s="17">
        <f>SUM(X9:X13)</f>
        <v/>
      </c>
      <c r="Y14" s="17">
        <f>SUM(Y9:Y13)</f>
        <v/>
      </c>
      <c r="Z14" s="17">
        <f>SUM(Z9:Z13)</f>
        <v/>
      </c>
      <c r="AA14" s="17">
        <f>SUM(AA9:AA13)</f>
        <v/>
      </c>
    </row>
    <row r="15">
      <c r="A15" s="5" t="inlineStr">
        <is>
          <t xml:space="preserve">  支出｜現金仕入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15">
        <f>SUM(B15:Z15)</f>
        <v/>
      </c>
    </row>
    <row r="16">
      <c r="A16" s="5" t="inlineStr">
        <is>
          <t xml:space="preserve">  支出｜買掛金支払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15">
        <f>SUM(B16:Z16)</f>
        <v/>
      </c>
    </row>
    <row r="17">
      <c r="A17" s="5" t="inlineStr">
        <is>
          <t xml:space="preserve">  支出｜支払手形決済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15">
        <f>SUM(B17:Z17)</f>
        <v/>
      </c>
    </row>
    <row r="18">
      <c r="A18" s="5" t="inlineStr">
        <is>
          <t xml:space="preserve">  支出｜未払金支払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15">
        <f>SUM(B18:Z18)</f>
        <v/>
      </c>
    </row>
    <row r="19">
      <c r="A19" s="5" t="inlineStr">
        <is>
          <t xml:space="preserve">  支出｜人件費（給与・賞与）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15">
        <f>SUM(B19:Z19)</f>
        <v/>
      </c>
    </row>
    <row r="20">
      <c r="A20" s="5" t="inlineStr">
        <is>
          <t xml:space="preserve">  支出｜法定福利費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15">
        <f>SUM(B20:Z20)</f>
        <v/>
      </c>
    </row>
    <row r="21">
      <c r="A21" s="5" t="inlineStr">
        <is>
          <t xml:space="preserve">  支出｜地代家賃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15">
        <f>SUM(B21:Z21)</f>
        <v/>
      </c>
    </row>
    <row r="22">
      <c r="A22" s="5" t="inlineStr">
        <is>
          <t xml:space="preserve">  支出｜水道光熱費・通信費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15">
        <f>SUM(B22:Z22)</f>
        <v/>
      </c>
    </row>
    <row r="23">
      <c r="A23" s="5" t="inlineStr">
        <is>
          <t xml:space="preserve">  支出｜その他経費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15">
        <f>SUM(B23:Z23)</f>
        <v/>
      </c>
    </row>
    <row r="24">
      <c r="A24" s="5" t="inlineStr">
        <is>
          <t xml:space="preserve">  支出｜支払利息・割引料</t>
        </is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15">
        <f>SUM(B24:Z24)</f>
        <v/>
      </c>
    </row>
    <row r="25">
      <c r="A25" s="16" t="inlineStr">
        <is>
          <t xml:space="preserve">  支出 計</t>
        </is>
      </c>
      <c r="B25" s="17">
        <f>SUM(B15:B24)</f>
        <v/>
      </c>
      <c r="C25" s="17">
        <f>SUM(C15:C24)</f>
        <v/>
      </c>
      <c r="D25" s="17">
        <f>SUM(D15:D24)</f>
        <v/>
      </c>
      <c r="E25" s="17">
        <f>SUM(E15:E24)</f>
        <v/>
      </c>
      <c r="F25" s="17">
        <f>SUM(F15:F24)</f>
        <v/>
      </c>
      <c r="G25" s="17">
        <f>SUM(G15:G24)</f>
        <v/>
      </c>
      <c r="H25" s="17">
        <f>SUM(H15:H24)</f>
        <v/>
      </c>
      <c r="I25" s="17">
        <f>SUM(I15:I24)</f>
        <v/>
      </c>
      <c r="J25" s="17">
        <f>SUM(J15:J24)</f>
        <v/>
      </c>
      <c r="K25" s="17">
        <f>SUM(K15:K24)</f>
        <v/>
      </c>
      <c r="L25" s="17">
        <f>SUM(L15:L24)</f>
        <v/>
      </c>
      <c r="M25" s="17">
        <f>SUM(M15:M24)</f>
        <v/>
      </c>
      <c r="N25" s="17">
        <f>SUM(N15:N24)</f>
        <v/>
      </c>
      <c r="O25" s="17">
        <f>SUM(O15:O24)</f>
        <v/>
      </c>
      <c r="P25" s="17">
        <f>SUM(P15:P24)</f>
        <v/>
      </c>
      <c r="Q25" s="17">
        <f>SUM(Q15:Q24)</f>
        <v/>
      </c>
      <c r="R25" s="17">
        <f>SUM(R15:R24)</f>
        <v/>
      </c>
      <c r="S25" s="17">
        <f>SUM(S15:S24)</f>
        <v/>
      </c>
      <c r="T25" s="17">
        <f>SUM(T15:T24)</f>
        <v/>
      </c>
      <c r="U25" s="17">
        <f>SUM(U15:U24)</f>
        <v/>
      </c>
      <c r="V25" s="17">
        <f>SUM(V15:V24)</f>
        <v/>
      </c>
      <c r="W25" s="17">
        <f>SUM(W15:W24)</f>
        <v/>
      </c>
      <c r="X25" s="17">
        <f>SUM(X15:X24)</f>
        <v/>
      </c>
      <c r="Y25" s="17">
        <f>SUM(Y15:Y24)</f>
        <v/>
      </c>
      <c r="Z25" s="17">
        <f>SUM(Z15:Z24)</f>
        <v/>
      </c>
      <c r="AA25" s="17">
        <f>SUM(AA15:AA24)</f>
        <v/>
      </c>
    </row>
    <row r="26">
      <c r="A26" s="18" t="inlineStr">
        <is>
          <t>経常収支 差額（収入－支出）</t>
        </is>
      </c>
      <c r="B26" s="19">
        <f>B14-B25</f>
        <v/>
      </c>
      <c r="C26" s="19">
        <f>C14-C25</f>
        <v/>
      </c>
      <c r="D26" s="19">
        <f>D14-D25</f>
        <v/>
      </c>
      <c r="E26" s="19">
        <f>E14-E25</f>
        <v/>
      </c>
      <c r="F26" s="19">
        <f>F14-F25</f>
        <v/>
      </c>
      <c r="G26" s="19">
        <f>G14-G25</f>
        <v/>
      </c>
      <c r="H26" s="19">
        <f>H14-H25</f>
        <v/>
      </c>
      <c r="I26" s="19">
        <f>I14-I25</f>
        <v/>
      </c>
      <c r="J26" s="19">
        <f>J14-J25</f>
        <v/>
      </c>
      <c r="K26" s="19">
        <f>K14-K25</f>
        <v/>
      </c>
      <c r="L26" s="19">
        <f>L14-L25</f>
        <v/>
      </c>
      <c r="M26" s="19">
        <f>M14-M25</f>
        <v/>
      </c>
      <c r="N26" s="19">
        <f>N14-N25</f>
        <v/>
      </c>
      <c r="O26" s="19">
        <f>O14-O25</f>
        <v/>
      </c>
      <c r="P26" s="19">
        <f>P14-P25</f>
        <v/>
      </c>
      <c r="Q26" s="19">
        <f>Q14-Q25</f>
        <v/>
      </c>
      <c r="R26" s="19">
        <f>R14-R25</f>
        <v/>
      </c>
      <c r="S26" s="19">
        <f>S14-S25</f>
        <v/>
      </c>
      <c r="T26" s="19">
        <f>T14-T25</f>
        <v/>
      </c>
      <c r="U26" s="19">
        <f>U14-U25</f>
        <v/>
      </c>
      <c r="V26" s="19">
        <f>V14-V25</f>
        <v/>
      </c>
      <c r="W26" s="19">
        <f>W14-W25</f>
        <v/>
      </c>
      <c r="X26" s="19">
        <f>X14-X25</f>
        <v/>
      </c>
      <c r="Y26" s="19">
        <f>Y14-Y25</f>
        <v/>
      </c>
      <c r="Z26" s="19">
        <f>Z14-Z25</f>
        <v/>
      </c>
      <c r="AA26" s="19">
        <f>AA14-AA25</f>
        <v/>
      </c>
    </row>
    <row r="27">
      <c r="A27" s="13" t="inlineStr">
        <is>
          <t>経常外収支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  <c r="AA27" s="14" t="n"/>
    </row>
    <row r="28">
      <c r="A28" s="5" t="inlineStr">
        <is>
          <t xml:space="preserve">  収入｜固定資産売却収入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15">
        <f>SUM(B28:Z28)</f>
        <v/>
      </c>
    </row>
    <row r="29">
      <c r="A29" s="5" t="inlineStr">
        <is>
          <t xml:space="preserve">  収入｜保険金・補助金等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15">
        <f>SUM(B29:Z29)</f>
        <v/>
      </c>
    </row>
    <row r="30">
      <c r="A30" s="5" t="inlineStr">
        <is>
          <t xml:space="preserve">  収入｜その他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15">
        <f>SUM(B30:Z30)</f>
        <v/>
      </c>
    </row>
    <row r="31">
      <c r="A31" s="16" t="inlineStr">
        <is>
          <t xml:space="preserve">  収入 計</t>
        </is>
      </c>
      <c r="B31" s="17">
        <f>SUM(B28:B30)</f>
        <v/>
      </c>
      <c r="C31" s="17">
        <f>SUM(C28:C30)</f>
        <v/>
      </c>
      <c r="D31" s="17">
        <f>SUM(D28:D30)</f>
        <v/>
      </c>
      <c r="E31" s="17">
        <f>SUM(E28:E30)</f>
        <v/>
      </c>
      <c r="F31" s="17">
        <f>SUM(F28:F30)</f>
        <v/>
      </c>
      <c r="G31" s="17">
        <f>SUM(G28:G30)</f>
        <v/>
      </c>
      <c r="H31" s="17">
        <f>SUM(H28:H30)</f>
        <v/>
      </c>
      <c r="I31" s="17">
        <f>SUM(I28:I30)</f>
        <v/>
      </c>
      <c r="J31" s="17">
        <f>SUM(J28:J30)</f>
        <v/>
      </c>
      <c r="K31" s="17">
        <f>SUM(K28:K30)</f>
        <v/>
      </c>
      <c r="L31" s="17">
        <f>SUM(L28:L30)</f>
        <v/>
      </c>
      <c r="M31" s="17">
        <f>SUM(M28:M30)</f>
        <v/>
      </c>
      <c r="N31" s="17">
        <f>SUM(N28:N30)</f>
        <v/>
      </c>
      <c r="O31" s="17">
        <f>SUM(O28:O30)</f>
        <v/>
      </c>
      <c r="P31" s="17">
        <f>SUM(P28:P30)</f>
        <v/>
      </c>
      <c r="Q31" s="17">
        <f>SUM(Q28:Q30)</f>
        <v/>
      </c>
      <c r="R31" s="17">
        <f>SUM(R28:R30)</f>
        <v/>
      </c>
      <c r="S31" s="17">
        <f>SUM(S28:S30)</f>
        <v/>
      </c>
      <c r="T31" s="17">
        <f>SUM(T28:T30)</f>
        <v/>
      </c>
      <c r="U31" s="17">
        <f>SUM(U28:U30)</f>
        <v/>
      </c>
      <c r="V31" s="17">
        <f>SUM(V28:V30)</f>
        <v/>
      </c>
      <c r="W31" s="17">
        <f>SUM(W28:W30)</f>
        <v/>
      </c>
      <c r="X31" s="17">
        <f>SUM(X28:X30)</f>
        <v/>
      </c>
      <c r="Y31" s="17">
        <f>SUM(Y28:Y30)</f>
        <v/>
      </c>
      <c r="Z31" s="17">
        <f>SUM(Z28:Z30)</f>
        <v/>
      </c>
      <c r="AA31" s="17">
        <f>SUM(AA28:AA30)</f>
        <v/>
      </c>
    </row>
    <row r="32">
      <c r="A32" s="5" t="inlineStr">
        <is>
          <t xml:space="preserve">  支出｜設備投資（固定資産購入）</t>
        </is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15">
        <f>SUM(B32:Z32)</f>
        <v/>
      </c>
    </row>
    <row r="33">
      <c r="A33" s="5" t="inlineStr">
        <is>
          <t xml:space="preserve">  支出｜法人税・消費税等納付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15">
        <f>SUM(B33:Z33)</f>
        <v/>
      </c>
    </row>
    <row r="34">
      <c r="A34" s="5" t="inlineStr">
        <is>
          <t xml:space="preserve">  支出｜その他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15">
        <f>SUM(B34:Z34)</f>
        <v/>
      </c>
    </row>
    <row r="35">
      <c r="A35" s="16" t="inlineStr">
        <is>
          <t xml:space="preserve">  支出 計</t>
        </is>
      </c>
      <c r="B35" s="17">
        <f>SUM(B32:B34)</f>
        <v/>
      </c>
      <c r="C35" s="17">
        <f>SUM(C32:C34)</f>
        <v/>
      </c>
      <c r="D35" s="17">
        <f>SUM(D32:D34)</f>
        <v/>
      </c>
      <c r="E35" s="17">
        <f>SUM(E32:E34)</f>
        <v/>
      </c>
      <c r="F35" s="17">
        <f>SUM(F32:F34)</f>
        <v/>
      </c>
      <c r="G35" s="17">
        <f>SUM(G32:G34)</f>
        <v/>
      </c>
      <c r="H35" s="17">
        <f>SUM(H32:H34)</f>
        <v/>
      </c>
      <c r="I35" s="17">
        <f>SUM(I32:I34)</f>
        <v/>
      </c>
      <c r="J35" s="17">
        <f>SUM(J32:J34)</f>
        <v/>
      </c>
      <c r="K35" s="17">
        <f>SUM(K32:K34)</f>
        <v/>
      </c>
      <c r="L35" s="17">
        <f>SUM(L32:L34)</f>
        <v/>
      </c>
      <c r="M35" s="17">
        <f>SUM(M32:M34)</f>
        <v/>
      </c>
      <c r="N35" s="17">
        <f>SUM(N32:N34)</f>
        <v/>
      </c>
      <c r="O35" s="17">
        <f>SUM(O32:O34)</f>
        <v/>
      </c>
      <c r="P35" s="17">
        <f>SUM(P32:P34)</f>
        <v/>
      </c>
      <c r="Q35" s="17">
        <f>SUM(Q32:Q34)</f>
        <v/>
      </c>
      <c r="R35" s="17">
        <f>SUM(R32:R34)</f>
        <v/>
      </c>
      <c r="S35" s="17">
        <f>SUM(S32:S34)</f>
        <v/>
      </c>
      <c r="T35" s="17">
        <f>SUM(T32:T34)</f>
        <v/>
      </c>
      <c r="U35" s="17">
        <f>SUM(U32:U34)</f>
        <v/>
      </c>
      <c r="V35" s="17">
        <f>SUM(V32:V34)</f>
        <v/>
      </c>
      <c r="W35" s="17">
        <f>SUM(W32:W34)</f>
        <v/>
      </c>
      <c r="X35" s="17">
        <f>SUM(X32:X34)</f>
        <v/>
      </c>
      <c r="Y35" s="17">
        <f>SUM(Y32:Y34)</f>
        <v/>
      </c>
      <c r="Z35" s="17">
        <f>SUM(Z32:Z34)</f>
        <v/>
      </c>
      <c r="AA35" s="17">
        <f>SUM(AA32:AA34)</f>
        <v/>
      </c>
    </row>
    <row r="36">
      <c r="A36" s="18" t="inlineStr">
        <is>
          <t>経常外収支 差額（収入－支出）</t>
        </is>
      </c>
      <c r="B36" s="19">
        <f>B31-B35</f>
        <v/>
      </c>
      <c r="C36" s="19">
        <f>C31-C35</f>
        <v/>
      </c>
      <c r="D36" s="19">
        <f>D31-D35</f>
        <v/>
      </c>
      <c r="E36" s="19">
        <f>E31-E35</f>
        <v/>
      </c>
      <c r="F36" s="19">
        <f>F31-F35</f>
        <v/>
      </c>
      <c r="G36" s="19">
        <f>G31-G35</f>
        <v/>
      </c>
      <c r="H36" s="19">
        <f>H31-H35</f>
        <v/>
      </c>
      <c r="I36" s="19">
        <f>I31-I35</f>
        <v/>
      </c>
      <c r="J36" s="19">
        <f>J31-J35</f>
        <v/>
      </c>
      <c r="K36" s="19">
        <f>K31-K35</f>
        <v/>
      </c>
      <c r="L36" s="19">
        <f>L31-L35</f>
        <v/>
      </c>
      <c r="M36" s="19">
        <f>M31-M35</f>
        <v/>
      </c>
      <c r="N36" s="19">
        <f>N31-N35</f>
        <v/>
      </c>
      <c r="O36" s="19">
        <f>O31-O35</f>
        <v/>
      </c>
      <c r="P36" s="19">
        <f>P31-P35</f>
        <v/>
      </c>
      <c r="Q36" s="19">
        <f>Q31-Q35</f>
        <v/>
      </c>
      <c r="R36" s="19">
        <f>R31-R35</f>
        <v/>
      </c>
      <c r="S36" s="19">
        <f>S31-S35</f>
        <v/>
      </c>
      <c r="T36" s="19">
        <f>T31-T35</f>
        <v/>
      </c>
      <c r="U36" s="19">
        <f>U31-U35</f>
        <v/>
      </c>
      <c r="V36" s="19">
        <f>V31-V35</f>
        <v/>
      </c>
      <c r="W36" s="19">
        <f>W31-W35</f>
        <v/>
      </c>
      <c r="X36" s="19">
        <f>X31-X35</f>
        <v/>
      </c>
      <c r="Y36" s="19">
        <f>Y31-Y35</f>
        <v/>
      </c>
      <c r="Z36" s="19">
        <f>Z31-Z35</f>
        <v/>
      </c>
      <c r="AA36" s="19">
        <f>AA31-AA35</f>
        <v/>
      </c>
    </row>
    <row r="37">
      <c r="A37" s="13" t="inlineStr">
        <is>
          <t>財務収支</t>
        </is>
      </c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</row>
    <row r="38">
      <c r="A38" s="5" t="inlineStr">
        <is>
          <t xml:space="preserve">  収入｜借入金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15">
        <f>SUM(B38:Z38)</f>
        <v/>
      </c>
    </row>
    <row r="39">
      <c r="A39" s="5" t="inlineStr">
        <is>
          <t xml:space="preserve">  収入｜増資・出資</t>
        </is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15">
        <f>SUM(B39:Z39)</f>
        <v/>
      </c>
    </row>
    <row r="40">
      <c r="A40" s="5" t="inlineStr">
        <is>
          <t xml:space="preserve">  収入｜その他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15">
        <f>SUM(B40:Z40)</f>
        <v/>
      </c>
    </row>
    <row r="41">
      <c r="A41" s="16" t="inlineStr">
        <is>
          <t xml:space="preserve">  収入 計</t>
        </is>
      </c>
      <c r="B41" s="17">
        <f>SUM(B38:B40)</f>
        <v/>
      </c>
      <c r="C41" s="17">
        <f>SUM(C38:C40)</f>
        <v/>
      </c>
      <c r="D41" s="17">
        <f>SUM(D38:D40)</f>
        <v/>
      </c>
      <c r="E41" s="17">
        <f>SUM(E38:E40)</f>
        <v/>
      </c>
      <c r="F41" s="17">
        <f>SUM(F38:F40)</f>
        <v/>
      </c>
      <c r="G41" s="17">
        <f>SUM(G38:G40)</f>
        <v/>
      </c>
      <c r="H41" s="17">
        <f>SUM(H38:H40)</f>
        <v/>
      </c>
      <c r="I41" s="17">
        <f>SUM(I38:I40)</f>
        <v/>
      </c>
      <c r="J41" s="17">
        <f>SUM(J38:J40)</f>
        <v/>
      </c>
      <c r="K41" s="17">
        <f>SUM(K38:K40)</f>
        <v/>
      </c>
      <c r="L41" s="17">
        <f>SUM(L38:L40)</f>
        <v/>
      </c>
      <c r="M41" s="17">
        <f>SUM(M38:M40)</f>
        <v/>
      </c>
      <c r="N41" s="17">
        <f>SUM(N38:N40)</f>
        <v/>
      </c>
      <c r="O41" s="17">
        <f>SUM(O38:O40)</f>
        <v/>
      </c>
      <c r="P41" s="17">
        <f>SUM(P38:P40)</f>
        <v/>
      </c>
      <c r="Q41" s="17">
        <f>SUM(Q38:Q40)</f>
        <v/>
      </c>
      <c r="R41" s="17">
        <f>SUM(R38:R40)</f>
        <v/>
      </c>
      <c r="S41" s="17">
        <f>SUM(S38:S40)</f>
        <v/>
      </c>
      <c r="T41" s="17">
        <f>SUM(T38:T40)</f>
        <v/>
      </c>
      <c r="U41" s="17">
        <f>SUM(U38:U40)</f>
        <v/>
      </c>
      <c r="V41" s="17">
        <f>SUM(V38:V40)</f>
        <v/>
      </c>
      <c r="W41" s="17">
        <f>SUM(W38:W40)</f>
        <v/>
      </c>
      <c r="X41" s="17">
        <f>SUM(X38:X40)</f>
        <v/>
      </c>
      <c r="Y41" s="17">
        <f>SUM(Y38:Y40)</f>
        <v/>
      </c>
      <c r="Z41" s="17">
        <f>SUM(Z38:Z40)</f>
        <v/>
      </c>
      <c r="AA41" s="17">
        <f>SUM(AA38:AA40)</f>
        <v/>
      </c>
    </row>
    <row r="42">
      <c r="A42" s="5" t="inlineStr">
        <is>
          <t xml:space="preserve">  支出｜借入金返済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15">
        <f>SUM(B42:Z42)</f>
        <v/>
      </c>
    </row>
    <row r="43">
      <c r="A43" s="5" t="inlineStr">
        <is>
          <t xml:space="preserve">  支出｜配当金・役員借入返済</t>
        </is>
      </c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15">
        <f>SUM(B43:Z43)</f>
        <v/>
      </c>
    </row>
    <row r="44">
      <c r="A44" s="5" t="inlineStr">
        <is>
          <t xml:space="preserve">  支出｜その他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15">
        <f>SUM(B44:Z44)</f>
        <v/>
      </c>
    </row>
    <row r="45">
      <c r="A45" s="16" t="inlineStr">
        <is>
          <t xml:space="preserve">  支出 計</t>
        </is>
      </c>
      <c r="B45" s="17">
        <f>SUM(B42:B44)</f>
        <v/>
      </c>
      <c r="C45" s="17">
        <f>SUM(C42:C44)</f>
        <v/>
      </c>
      <c r="D45" s="17">
        <f>SUM(D42:D44)</f>
        <v/>
      </c>
      <c r="E45" s="17">
        <f>SUM(E42:E44)</f>
        <v/>
      </c>
      <c r="F45" s="17">
        <f>SUM(F42:F44)</f>
        <v/>
      </c>
      <c r="G45" s="17">
        <f>SUM(G42:G44)</f>
        <v/>
      </c>
      <c r="H45" s="17">
        <f>SUM(H42:H44)</f>
        <v/>
      </c>
      <c r="I45" s="17">
        <f>SUM(I42:I44)</f>
        <v/>
      </c>
      <c r="J45" s="17">
        <f>SUM(J42:J44)</f>
        <v/>
      </c>
      <c r="K45" s="17">
        <f>SUM(K42:K44)</f>
        <v/>
      </c>
      <c r="L45" s="17">
        <f>SUM(L42:L44)</f>
        <v/>
      </c>
      <c r="M45" s="17">
        <f>SUM(M42:M44)</f>
        <v/>
      </c>
      <c r="N45" s="17">
        <f>SUM(N42:N44)</f>
        <v/>
      </c>
      <c r="O45" s="17">
        <f>SUM(O42:O44)</f>
        <v/>
      </c>
      <c r="P45" s="17">
        <f>SUM(P42:P44)</f>
        <v/>
      </c>
      <c r="Q45" s="17">
        <f>SUM(Q42:Q44)</f>
        <v/>
      </c>
      <c r="R45" s="17">
        <f>SUM(R42:R44)</f>
        <v/>
      </c>
      <c r="S45" s="17">
        <f>SUM(S42:S44)</f>
        <v/>
      </c>
      <c r="T45" s="17">
        <f>SUM(T42:T44)</f>
        <v/>
      </c>
      <c r="U45" s="17">
        <f>SUM(U42:U44)</f>
        <v/>
      </c>
      <c r="V45" s="17">
        <f>SUM(V42:V44)</f>
        <v/>
      </c>
      <c r="W45" s="17">
        <f>SUM(W42:W44)</f>
        <v/>
      </c>
      <c r="X45" s="17">
        <f>SUM(X42:X44)</f>
        <v/>
      </c>
      <c r="Y45" s="17">
        <f>SUM(Y42:Y44)</f>
        <v/>
      </c>
      <c r="Z45" s="17">
        <f>SUM(Z42:Z44)</f>
        <v/>
      </c>
      <c r="AA45" s="17">
        <f>SUM(AA42:AA44)</f>
        <v/>
      </c>
    </row>
    <row r="46">
      <c r="A46" s="18" t="inlineStr">
        <is>
          <t>財務収支 差額（収入－支出）</t>
        </is>
      </c>
      <c r="B46" s="19">
        <f>B41-B45</f>
        <v/>
      </c>
      <c r="C46" s="19">
        <f>C41-C45</f>
        <v/>
      </c>
      <c r="D46" s="19">
        <f>D41-D45</f>
        <v/>
      </c>
      <c r="E46" s="19">
        <f>E41-E45</f>
        <v/>
      </c>
      <c r="F46" s="19">
        <f>F41-F45</f>
        <v/>
      </c>
      <c r="G46" s="19">
        <f>G41-G45</f>
        <v/>
      </c>
      <c r="H46" s="19">
        <f>H41-H45</f>
        <v/>
      </c>
      <c r="I46" s="19">
        <f>I41-I45</f>
        <v/>
      </c>
      <c r="J46" s="19">
        <f>J41-J45</f>
        <v/>
      </c>
      <c r="K46" s="19">
        <f>K41-K45</f>
        <v/>
      </c>
      <c r="L46" s="19">
        <f>L41-L45</f>
        <v/>
      </c>
      <c r="M46" s="19">
        <f>M41-M45</f>
        <v/>
      </c>
      <c r="N46" s="19">
        <f>N41-N45</f>
        <v/>
      </c>
      <c r="O46" s="19">
        <f>O41-O45</f>
        <v/>
      </c>
      <c r="P46" s="19">
        <f>P41-P45</f>
        <v/>
      </c>
      <c r="Q46" s="19">
        <f>Q41-Q45</f>
        <v/>
      </c>
      <c r="R46" s="19">
        <f>R41-R45</f>
        <v/>
      </c>
      <c r="S46" s="19">
        <f>S41-S45</f>
        <v/>
      </c>
      <c r="T46" s="19">
        <f>T41-T45</f>
        <v/>
      </c>
      <c r="U46" s="19">
        <f>U41-U45</f>
        <v/>
      </c>
      <c r="V46" s="19">
        <f>V41-V45</f>
        <v/>
      </c>
      <c r="W46" s="19">
        <f>W41-W45</f>
        <v/>
      </c>
      <c r="X46" s="19">
        <f>X41-X45</f>
        <v/>
      </c>
      <c r="Y46" s="19">
        <f>Y41-Y45</f>
        <v/>
      </c>
      <c r="Z46" s="19">
        <f>Z41-Z45</f>
        <v/>
      </c>
      <c r="AA46" s="19">
        <f>AA41-AA45</f>
        <v/>
      </c>
    </row>
    <row r="47">
      <c r="A47" s="18" t="inlineStr">
        <is>
          <t>前月繰越（月初残高）</t>
        </is>
      </c>
      <c r="B47" s="9" t="n"/>
      <c r="C47" s="19">
        <f>B48</f>
        <v/>
      </c>
      <c r="D47" s="19">
        <f>C48</f>
        <v/>
      </c>
      <c r="E47" s="19">
        <f>D48</f>
        <v/>
      </c>
      <c r="F47" s="19">
        <f>E48</f>
        <v/>
      </c>
      <c r="G47" s="19">
        <f>F48</f>
        <v/>
      </c>
      <c r="H47" s="19">
        <f>G48</f>
        <v/>
      </c>
      <c r="I47" s="19">
        <f>H48</f>
        <v/>
      </c>
      <c r="J47" s="19">
        <f>I48</f>
        <v/>
      </c>
      <c r="K47" s="19">
        <f>J48</f>
        <v/>
      </c>
      <c r="L47" s="19">
        <f>K48</f>
        <v/>
      </c>
      <c r="M47" s="19">
        <f>L48</f>
        <v/>
      </c>
      <c r="N47" s="19">
        <f>M48</f>
        <v/>
      </c>
      <c r="O47" s="19">
        <f>N48</f>
        <v/>
      </c>
      <c r="P47" s="19">
        <f>O48</f>
        <v/>
      </c>
      <c r="Q47" s="19">
        <f>P48</f>
        <v/>
      </c>
      <c r="R47" s="19">
        <f>Q48</f>
        <v/>
      </c>
      <c r="S47" s="19">
        <f>R48</f>
        <v/>
      </c>
      <c r="T47" s="19">
        <f>S48</f>
        <v/>
      </c>
      <c r="U47" s="19">
        <f>T48</f>
        <v/>
      </c>
      <c r="V47" s="19">
        <f>U48</f>
        <v/>
      </c>
      <c r="W47" s="19">
        <f>V48</f>
        <v/>
      </c>
      <c r="X47" s="19">
        <f>W48</f>
        <v/>
      </c>
      <c r="Y47" s="19">
        <f>X48</f>
        <v/>
      </c>
      <c r="Z47" s="19">
        <f>Y48</f>
        <v/>
      </c>
      <c r="AA47" s="19">
        <f>B47</f>
        <v/>
      </c>
    </row>
    <row r="48">
      <c r="A48" s="20" t="inlineStr">
        <is>
          <t>翌月繰越（月末残高）</t>
        </is>
      </c>
      <c r="B48" s="19">
        <f>B47+B26+B36+B46</f>
        <v/>
      </c>
      <c r="C48" s="19">
        <f>C47+C26+C36+C46</f>
        <v/>
      </c>
      <c r="D48" s="19">
        <f>D47+D26+D36+D46</f>
        <v/>
      </c>
      <c r="E48" s="19">
        <f>E47+E26+E36+E46</f>
        <v/>
      </c>
      <c r="F48" s="19">
        <f>F47+F26+F36+F46</f>
        <v/>
      </c>
      <c r="G48" s="19">
        <f>G47+G26+G36+G46</f>
        <v/>
      </c>
      <c r="H48" s="19">
        <f>H47+H26+H36+H46</f>
        <v/>
      </c>
      <c r="I48" s="19">
        <f>I47+I26+I36+I46</f>
        <v/>
      </c>
      <c r="J48" s="19">
        <f>J47+J26+J36+J46</f>
        <v/>
      </c>
      <c r="K48" s="19">
        <f>K47+K26+K36+K46</f>
        <v/>
      </c>
      <c r="L48" s="19">
        <f>L47+L26+L36+L46</f>
        <v/>
      </c>
      <c r="M48" s="19">
        <f>M47+M26+M36+M46</f>
        <v/>
      </c>
      <c r="N48" s="19">
        <f>N47+N26+N36+N46</f>
        <v/>
      </c>
      <c r="O48" s="19">
        <f>O47+O26+O36+O46</f>
        <v/>
      </c>
      <c r="P48" s="19">
        <f>P47+P26+P36+P46</f>
        <v/>
      </c>
      <c r="Q48" s="19">
        <f>Q47+Q26+Q36+Q46</f>
        <v/>
      </c>
      <c r="R48" s="19">
        <f>R47+R26+R36+R46</f>
        <v/>
      </c>
      <c r="S48" s="19">
        <f>S47+S26+S36+S46</f>
        <v/>
      </c>
      <c r="T48" s="19">
        <f>T47+T26+T36+T46</f>
        <v/>
      </c>
      <c r="U48" s="19">
        <f>U47+U26+U36+U46</f>
        <v/>
      </c>
      <c r="V48" s="19">
        <f>V47+V26+V36+V46</f>
        <v/>
      </c>
      <c r="W48" s="19">
        <f>W47+W26+W36+W46</f>
        <v/>
      </c>
      <c r="X48" s="19">
        <f>X47+X26+X36+X46</f>
        <v/>
      </c>
      <c r="Y48" s="19">
        <f>Y47+Y26+Y36+Y46</f>
        <v/>
      </c>
      <c r="Z48" s="19">
        <f>Z47+Z26+Z36+Z46</f>
        <v/>
      </c>
      <c r="AA48" s="19">
        <f>Z48</f>
        <v/>
      </c>
    </row>
    <row r="49">
      <c r="A49" s="7" t="inlineStr">
        <is>
          <t>残高判定</t>
        </is>
      </c>
      <c r="B49" s="21">
        <f>IF(B48&lt;$B$4,"要注意","OK")</f>
        <v/>
      </c>
      <c r="C49" s="21">
        <f>IF(C48&lt;$B$4,"要注意","OK")</f>
        <v/>
      </c>
      <c r="D49" s="21">
        <f>IF(D48&lt;$B$4,"要注意","OK")</f>
        <v/>
      </c>
      <c r="E49" s="21">
        <f>IF(E48&lt;$B$4,"要注意","OK")</f>
        <v/>
      </c>
      <c r="F49" s="21">
        <f>IF(F48&lt;$B$4,"要注意","OK")</f>
        <v/>
      </c>
      <c r="G49" s="21">
        <f>IF(G48&lt;$B$4,"要注意","OK")</f>
        <v/>
      </c>
      <c r="H49" s="21">
        <f>IF(H48&lt;$B$4,"要注意","OK")</f>
        <v/>
      </c>
      <c r="I49" s="21">
        <f>IF(I48&lt;$B$4,"要注意","OK")</f>
        <v/>
      </c>
      <c r="J49" s="21">
        <f>IF(J48&lt;$B$4,"要注意","OK")</f>
        <v/>
      </c>
      <c r="K49" s="21">
        <f>IF(K48&lt;$B$4,"要注意","OK")</f>
        <v/>
      </c>
      <c r="L49" s="21">
        <f>IF(L48&lt;$B$4,"要注意","OK")</f>
        <v/>
      </c>
      <c r="M49" s="21">
        <f>IF(M48&lt;$B$4,"要注意","OK")</f>
        <v/>
      </c>
      <c r="N49" s="21">
        <f>IF(N48&lt;$B$4,"要注意","OK")</f>
        <v/>
      </c>
      <c r="O49" s="21">
        <f>IF(O48&lt;$B$4,"要注意","OK")</f>
        <v/>
      </c>
      <c r="P49" s="21">
        <f>IF(P48&lt;$B$4,"要注意","OK")</f>
        <v/>
      </c>
      <c r="Q49" s="21">
        <f>IF(Q48&lt;$B$4,"要注意","OK")</f>
        <v/>
      </c>
      <c r="R49" s="21">
        <f>IF(R48&lt;$B$4,"要注意","OK")</f>
        <v/>
      </c>
      <c r="S49" s="21">
        <f>IF(S48&lt;$B$4,"要注意","OK")</f>
        <v/>
      </c>
      <c r="T49" s="21">
        <f>IF(T48&lt;$B$4,"要注意","OK")</f>
        <v/>
      </c>
      <c r="U49" s="21">
        <f>IF(U48&lt;$B$4,"要注意","OK")</f>
        <v/>
      </c>
      <c r="V49" s="21">
        <f>IF(V48&lt;$B$4,"要注意","OK")</f>
        <v/>
      </c>
      <c r="W49" s="21">
        <f>IF(W48&lt;$B$4,"要注意","OK")</f>
        <v/>
      </c>
      <c r="X49" s="21">
        <f>IF(X48&lt;$B$4,"要注意","OK")</f>
        <v/>
      </c>
      <c r="Y49" s="21">
        <f>IF(Y48&lt;$B$4,"要注意","OK")</f>
        <v/>
      </c>
      <c r="Z49" s="21">
        <f>IF(Z48&lt;$B$4,"要注意","OK")</f>
        <v/>
      </c>
    </row>
    <row r="51">
      <c r="A51" s="20" t="inlineStr">
        <is>
          <t>滞納管理（社会保険料・住民税）※資金収支の計算には含めない</t>
        </is>
      </c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</row>
    <row r="52">
      <c r="A52" s="13" t="inlineStr">
        <is>
          <t>社会保険料</t>
        </is>
      </c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  <c r="AA52" s="23" t="n"/>
    </row>
    <row r="53">
      <c r="A53" s="5" t="inlineStr">
        <is>
          <t xml:space="preserve">  本来の納付額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15">
        <f>SUM(B53:Z53)</f>
        <v/>
      </c>
    </row>
    <row r="54">
      <c r="A54" s="5" t="inlineStr">
        <is>
          <t xml:space="preserve">  実際の納付額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15">
        <f>SUM(B54:Z54)</f>
        <v/>
      </c>
    </row>
    <row r="55">
      <c r="A55" s="16" t="inlineStr">
        <is>
          <t xml:space="preserve">  滞納残高（累計）</t>
        </is>
      </c>
      <c r="B55" s="17">
        <f>B53-B54</f>
        <v/>
      </c>
      <c r="C55" s="17">
        <f>B55+C53-C54</f>
        <v/>
      </c>
      <c r="D55" s="17">
        <f>C55+D53-D54</f>
        <v/>
      </c>
      <c r="E55" s="17">
        <f>D55+E53-E54</f>
        <v/>
      </c>
      <c r="F55" s="17">
        <f>E55+F53-F54</f>
        <v/>
      </c>
      <c r="G55" s="17">
        <f>F55+G53-G54</f>
        <v/>
      </c>
      <c r="H55" s="17">
        <f>G55+H53-H54</f>
        <v/>
      </c>
      <c r="I55" s="17">
        <f>H55+I53-I54</f>
        <v/>
      </c>
      <c r="J55" s="17">
        <f>I55+J53-J54</f>
        <v/>
      </c>
      <c r="K55" s="17">
        <f>J55+K53-K54</f>
        <v/>
      </c>
      <c r="L55" s="17">
        <f>K55+L53-L54</f>
        <v/>
      </c>
      <c r="M55" s="17">
        <f>L55+M53-M54</f>
        <v/>
      </c>
      <c r="N55" s="17">
        <f>M55+N53-N54</f>
        <v/>
      </c>
      <c r="O55" s="17">
        <f>N55+O53-O54</f>
        <v/>
      </c>
      <c r="P55" s="17">
        <f>O55+P53-P54</f>
        <v/>
      </c>
      <c r="Q55" s="17">
        <f>P55+Q53-Q54</f>
        <v/>
      </c>
      <c r="R55" s="17">
        <f>Q55+R53-R54</f>
        <v/>
      </c>
      <c r="S55" s="17">
        <f>R55+S53-S54</f>
        <v/>
      </c>
      <c r="T55" s="17">
        <f>S55+T53-T54</f>
        <v/>
      </c>
      <c r="U55" s="17">
        <f>T55+U53-U54</f>
        <v/>
      </c>
      <c r="V55" s="17">
        <f>U55+V53-V54</f>
        <v/>
      </c>
      <c r="W55" s="17">
        <f>V55+W53-W54</f>
        <v/>
      </c>
      <c r="X55" s="17">
        <f>W55+X53-X54</f>
        <v/>
      </c>
      <c r="Y55" s="17">
        <f>X55+Y53-Y54</f>
        <v/>
      </c>
      <c r="Z55" s="17">
        <f>Y55+Z53-Z54</f>
        <v/>
      </c>
      <c r="AA55" s="17">
        <f>Z55</f>
        <v/>
      </c>
    </row>
    <row r="56">
      <c r="A56" s="13" t="inlineStr">
        <is>
          <t>住民税</t>
        </is>
      </c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</row>
    <row r="57">
      <c r="A57" s="5" t="inlineStr">
        <is>
          <t xml:space="preserve">  本来の納付額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15">
        <f>SUM(B57:Z57)</f>
        <v/>
      </c>
    </row>
    <row r="58">
      <c r="A58" s="5" t="inlineStr">
        <is>
          <t xml:space="preserve">  実際の納付額</t>
        </is>
      </c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15">
        <f>SUM(B58:Z58)</f>
        <v/>
      </c>
    </row>
    <row r="59">
      <c r="A59" s="16" t="inlineStr">
        <is>
          <t xml:space="preserve">  滞納残高（累計）</t>
        </is>
      </c>
      <c r="B59" s="17">
        <f>B57-B58</f>
        <v/>
      </c>
      <c r="C59" s="17">
        <f>B59+C57-C58</f>
        <v/>
      </c>
      <c r="D59" s="17">
        <f>C59+D57-D58</f>
        <v/>
      </c>
      <c r="E59" s="17">
        <f>D59+E57-E58</f>
        <v/>
      </c>
      <c r="F59" s="17">
        <f>E59+F57-F58</f>
        <v/>
      </c>
      <c r="G59" s="17">
        <f>F59+G57-G58</f>
        <v/>
      </c>
      <c r="H59" s="17">
        <f>G59+H57-H58</f>
        <v/>
      </c>
      <c r="I59" s="17">
        <f>H59+I57-I58</f>
        <v/>
      </c>
      <c r="J59" s="17">
        <f>I59+J57-J58</f>
        <v/>
      </c>
      <c r="K59" s="17">
        <f>J59+K57-K58</f>
        <v/>
      </c>
      <c r="L59" s="17">
        <f>K59+L57-L58</f>
        <v/>
      </c>
      <c r="M59" s="17">
        <f>L59+M57-M58</f>
        <v/>
      </c>
      <c r="N59" s="17">
        <f>M59+N57-N58</f>
        <v/>
      </c>
      <c r="O59" s="17">
        <f>N59+O57-O58</f>
        <v/>
      </c>
      <c r="P59" s="17">
        <f>O59+P57-P58</f>
        <v/>
      </c>
      <c r="Q59" s="17">
        <f>P59+Q57-Q58</f>
        <v/>
      </c>
      <c r="R59" s="17">
        <f>Q59+R57-R58</f>
        <v/>
      </c>
      <c r="S59" s="17">
        <f>R59+S57-S58</f>
        <v/>
      </c>
      <c r="T59" s="17">
        <f>S59+T57-T58</f>
        <v/>
      </c>
      <c r="U59" s="17">
        <f>T59+U57-U58</f>
        <v/>
      </c>
      <c r="V59" s="17">
        <f>U59+V57-V58</f>
        <v/>
      </c>
      <c r="W59" s="17">
        <f>V59+W57-W58</f>
        <v/>
      </c>
      <c r="X59" s="17">
        <f>W59+X57-X58</f>
        <v/>
      </c>
      <c r="Y59" s="17">
        <f>X59+Y57-Y58</f>
        <v/>
      </c>
      <c r="Z59" s="17">
        <f>Y59+Z57-Z58</f>
        <v/>
      </c>
      <c r="AA59" s="17">
        <f>Z59</f>
        <v/>
      </c>
    </row>
    <row r="60">
      <c r="A60" s="18" t="inlineStr">
        <is>
          <t>滞納残高 合計</t>
        </is>
      </c>
      <c r="B60" s="19">
        <f>B55+B59</f>
        <v/>
      </c>
      <c r="C60" s="19">
        <f>C55+C59</f>
        <v/>
      </c>
      <c r="D60" s="19">
        <f>D55+D59</f>
        <v/>
      </c>
      <c r="E60" s="19">
        <f>E55+E59</f>
        <v/>
      </c>
      <c r="F60" s="19">
        <f>F55+F59</f>
        <v/>
      </c>
      <c r="G60" s="19">
        <f>G55+G59</f>
        <v/>
      </c>
      <c r="H60" s="19">
        <f>H55+H59</f>
        <v/>
      </c>
      <c r="I60" s="19">
        <f>I55+I59</f>
        <v/>
      </c>
      <c r="J60" s="19">
        <f>J55+J59</f>
        <v/>
      </c>
      <c r="K60" s="19">
        <f>K55+K59</f>
        <v/>
      </c>
      <c r="L60" s="19">
        <f>L55+L59</f>
        <v/>
      </c>
      <c r="M60" s="19">
        <f>M55+M59</f>
        <v/>
      </c>
      <c r="N60" s="19">
        <f>N55+N59</f>
        <v/>
      </c>
      <c r="O60" s="19">
        <f>O55+O59</f>
        <v/>
      </c>
      <c r="P60" s="19">
        <f>P55+P59</f>
        <v/>
      </c>
      <c r="Q60" s="19">
        <f>Q55+Q59</f>
        <v/>
      </c>
      <c r="R60" s="19">
        <f>R55+R59</f>
        <v/>
      </c>
      <c r="S60" s="19">
        <f>S55+S59</f>
        <v/>
      </c>
      <c r="T60" s="19">
        <f>T55+T59</f>
        <v/>
      </c>
      <c r="U60" s="19">
        <f>U55+U59</f>
        <v/>
      </c>
      <c r="V60" s="19">
        <f>V55+V59</f>
        <v/>
      </c>
      <c r="W60" s="19">
        <f>W55+W59</f>
        <v/>
      </c>
      <c r="X60" s="19">
        <f>X55+X59</f>
        <v/>
      </c>
      <c r="Y60" s="19">
        <f>Y55+Y59</f>
        <v/>
      </c>
      <c r="Z60" s="19">
        <f>Z55+Z59</f>
        <v/>
      </c>
      <c r="AA60" s="19">
        <f>AA55+AA59</f>
        <v/>
      </c>
    </row>
    <row r="61">
      <c r="A61" s="18" t="inlineStr">
        <is>
          <t>実質残高（月末残高－滞納残高合計）</t>
        </is>
      </c>
      <c r="B61" s="19">
        <f>B48-B60</f>
        <v/>
      </c>
      <c r="C61" s="19">
        <f>C48-C60</f>
        <v/>
      </c>
      <c r="D61" s="19">
        <f>D48-D60</f>
        <v/>
      </c>
      <c r="E61" s="19">
        <f>E48-E60</f>
        <v/>
      </c>
      <c r="F61" s="19">
        <f>F48-F60</f>
        <v/>
      </c>
      <c r="G61" s="19">
        <f>G48-G60</f>
        <v/>
      </c>
      <c r="H61" s="19">
        <f>H48-H60</f>
        <v/>
      </c>
      <c r="I61" s="19">
        <f>I48-I60</f>
        <v/>
      </c>
      <c r="J61" s="19">
        <f>J48-J60</f>
        <v/>
      </c>
      <c r="K61" s="19">
        <f>K48-K60</f>
        <v/>
      </c>
      <c r="L61" s="19">
        <f>L48-L60</f>
        <v/>
      </c>
      <c r="M61" s="19">
        <f>M48-M60</f>
        <v/>
      </c>
      <c r="N61" s="19">
        <f>N48-N60</f>
        <v/>
      </c>
      <c r="O61" s="19">
        <f>O48-O60</f>
        <v/>
      </c>
      <c r="P61" s="19">
        <f>P48-P60</f>
        <v/>
      </c>
      <c r="Q61" s="19">
        <f>Q48-Q60</f>
        <v/>
      </c>
      <c r="R61" s="19">
        <f>R48-R60</f>
        <v/>
      </c>
      <c r="S61" s="19">
        <f>S48-S60</f>
        <v/>
      </c>
      <c r="T61" s="19">
        <f>T48-T60</f>
        <v/>
      </c>
      <c r="U61" s="19">
        <f>U48-U60</f>
        <v/>
      </c>
      <c r="V61" s="19">
        <f>V48-V60</f>
        <v/>
      </c>
      <c r="W61" s="19">
        <f>W48-W60</f>
        <v/>
      </c>
      <c r="X61" s="19">
        <f>X48-X60</f>
        <v/>
      </c>
      <c r="Y61" s="19">
        <f>Y48-Y60</f>
        <v/>
      </c>
      <c r="Z61" s="19">
        <f>Z48-Z60</f>
        <v/>
      </c>
      <c r="AA61" s="19">
        <f>AA48-AA60</f>
        <v/>
      </c>
    </row>
    <row r="63">
      <c r="A63" s="10" t="inlineStr">
        <is>
          <t>※滞納管理の「実際の納付額」は、上の資金収支（社会保険料＝法定福利費、住民税＝人件費から天引きして納付する分など）にも同じ額を入れてください。</t>
        </is>
      </c>
    </row>
    <row r="64">
      <c r="A64" s="10" t="inlineStr">
        <is>
          <t>※営業収入の2025年10月〜2026年8月は実績値（各セルのコメントに出典）。2026年9月は集計ファイル未確認のため空欄。</t>
        </is>
      </c>
    </row>
  </sheetData>
  <conditionalFormatting sqref="B48:Z49">
    <cfRule type="expression" priority="1" dxfId="0">
      <formula>B$48&lt;$B$4</formula>
    </cfRule>
  </conditionalFormatting>
  <conditionalFormatting sqref="B60:Z60">
    <cfRule type="expression" priority="2" dxfId="0">
      <formula>B$60&gt;0</formula>
    </cfRule>
  </conditionalFormatting>
  <conditionalFormatting sqref="B61:Z61">
    <cfRule type="expression" priority="3" dxfId="0">
      <formula>B$61&lt;$B$4</formula>
    </cfRule>
  </conditionalFormatting>
  <conditionalFormatting sqref="B55:Z55">
    <cfRule type="expression" priority="4" dxfId="1">
      <formula>B$55&gt;0</formula>
    </cfRule>
  </conditionalFormatting>
  <conditionalFormatting sqref="B59:Z59">
    <cfRule type="expression" priority="5" dxfId="1">
      <formula>B$59&gt;0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2026-10-05T11:50:52Z</dcterms:created>
  <dcterms:modified xsi:type="dcterms:W3CDTF">2026-10-05T11:50:52Z</dcterms:modified>
</cp:coreProperties>
</file>