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日繰り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;&quot;-&quot;"/>
    <numFmt numFmtId="165" formatCode="m&quot;/&quot;d"/>
  </numFmts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0000FF"/>
      <sz val="10"/>
    </font>
    <font>
      <name val="游ゴシック"/>
      <sz val="9"/>
    </font>
    <font>
      <name val="游ゴシック"/>
      <b val="1"/>
      <color rgb="00FFFFFF"/>
      <sz val="10"/>
    </font>
    <font>
      <name val="游ゴシック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6" borderId="1" pivotButton="0" quotePrefix="0" xfId="0"/>
    <xf numFmtId="0" fontId="2" fillId="0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2" fillId="4" borderId="1" pivotButton="0" quotePrefix="0" xfId="0"/>
    <xf numFmtId="164" fontId="2" fillId="5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6" fillId="5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FFC7CE"/>
        </patternFill>
      </fill>
    </dxf>
    <dxf>
      <font>
        <name val="游ゴシック"/>
        <color rgb="00C00000"/>
      </font>
    </dxf>
    <dxf>
      <font>
        <name val="游ゴシック"/>
        <color rgb="000070C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パターンB：日繰り表（1か月・日次）</t>
        </is>
      </c>
    </row>
    <row r="4">
      <c r="B4" s="2" t="inlineStr">
        <is>
          <t>■ 用途：資金に余裕がない時期や、入出金のタイミングを日単位で管理したいときに使います。</t>
        </is>
      </c>
    </row>
    <row r="5">
      <c r="B5" s="3" t="inlineStr">
        <is>
          <t xml:space="preserve">  月末残高はプラスでも、月の途中（例：給与日・手形決済日）で残高が不足する事態を防げます。</t>
        </is>
      </c>
    </row>
    <row r="6">
      <c r="B6" s="2" t="inlineStr">
        <is>
          <t>■ 手順</t>
        </is>
      </c>
    </row>
    <row r="7">
      <c r="B7" s="3" t="inlineStr">
        <is>
          <t xml:space="preserve">  1. 「日繰り表」シートの B3・B4 に対象年・月を入力（日付と曜日は自動。存在しない日は空欄）</t>
        </is>
      </c>
    </row>
    <row r="8">
      <c r="B8" s="3" t="inlineStr">
        <is>
          <t xml:space="preserve">  2. B5 に前月繰越（月初の現預金残高）、B6 に最低必要残高を入力</t>
        </is>
      </c>
    </row>
    <row r="9">
      <c r="B9" s="3" t="inlineStr">
        <is>
          <t xml:space="preserve">  3. 入出金がある日の行に、摘要と金額を入力 → 差引残高が自動計算されます</t>
        </is>
      </c>
    </row>
    <row r="10">
      <c r="B10" s="3" t="inlineStr">
        <is>
          <t xml:space="preserve">  4. 下部の「月中の最低残高」で、その月で最も資金が少なくなる額を確認</t>
        </is>
      </c>
    </row>
    <row r="11">
      <c r="B11" s="2" t="inlineStr">
        <is>
          <t>■ 翌月分はシートをコピーし、B5 に当月の月末残高（M列最終行）を入れて使います。</t>
        </is>
      </c>
    </row>
    <row r="13">
      <c r="B13" s="4" t="inlineStr">
        <is>
          <t>入力セル（黄色・青字）</t>
        </is>
      </c>
    </row>
    <row r="14">
      <c r="B14" s="5" t="inlineStr">
        <is>
          <t>計算式セル（白・黒字）＝触らない</t>
        </is>
      </c>
    </row>
    <row r="15">
      <c r="B15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6" customWidth="1" min="2" max="2"/>
    <col width="30" customWidth="1" min="3" max="3"/>
    <col width="14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14" customWidth="1" min="10" max="10"/>
    <col width="12" customWidth="1" min="11" max="11"/>
    <col width="13" customWidth="1" min="12" max="12"/>
    <col width="14" customWidth="1" min="13" max="13"/>
    <col width="9" customWidth="1" min="14" max="14"/>
  </cols>
  <sheetData>
    <row r="1">
      <c r="A1" s="1" t="inlineStr">
        <is>
          <t>資金繰り表（日繰り・1か月）</t>
        </is>
      </c>
    </row>
    <row r="2">
      <c r="A2" s="7" t="inlineStr">
        <is>
          <t>会社名</t>
        </is>
      </c>
      <c r="B2" s="4" t="inlineStr"/>
    </row>
    <row r="3">
      <c r="A3" s="7" t="inlineStr">
        <is>
          <t>対象年</t>
        </is>
      </c>
      <c r="B3" s="4" t="n">
        <v>2026</v>
      </c>
    </row>
    <row r="4">
      <c r="A4" s="7" t="inlineStr">
        <is>
          <t>対象月</t>
        </is>
      </c>
      <c r="B4" s="4" t="n">
        <v>10</v>
      </c>
    </row>
    <row r="5">
      <c r="A5" s="7" t="inlineStr">
        <is>
          <t>前月繰越（月初残高）</t>
        </is>
      </c>
      <c r="B5" s="8" t="n">
        <v>2000000</v>
      </c>
    </row>
    <row r="6">
      <c r="A6" s="7" t="inlineStr">
        <is>
          <t>最低必要残高</t>
        </is>
      </c>
      <c r="B6" s="8" t="n">
        <v>1000000</v>
      </c>
    </row>
    <row r="7">
      <c r="A7" s="9" t="inlineStr">
        <is>
          <t>単位：円</t>
        </is>
      </c>
    </row>
    <row r="9">
      <c r="A9" s="10" t="inlineStr">
        <is>
          <t>日付</t>
        </is>
      </c>
      <c r="B9" s="10" t="inlineStr">
        <is>
          <t>曜日</t>
        </is>
      </c>
      <c r="C9" s="10" t="inlineStr">
        <is>
          <t>摘要（取引先・内容）</t>
        </is>
      </c>
      <c r="D9" s="10" t="inlineStr">
        <is>
          <t>入金｜売上・売掛回収</t>
        </is>
      </c>
      <c r="E9" s="10" t="inlineStr">
        <is>
          <t>入金｜その他</t>
        </is>
      </c>
      <c r="F9" s="10" t="inlineStr">
        <is>
          <t>入金 計</t>
        </is>
      </c>
      <c r="G9" s="10" t="inlineStr">
        <is>
          <t>出金｜仕入・買掛支払</t>
        </is>
      </c>
      <c r="H9" s="10" t="inlineStr">
        <is>
          <t>出金｜人件費</t>
        </is>
      </c>
      <c r="I9" s="10" t="inlineStr">
        <is>
          <t>出金｜経費</t>
        </is>
      </c>
      <c r="J9" s="10" t="inlineStr">
        <is>
          <t>出金｜借入返済・利息</t>
        </is>
      </c>
      <c r="K9" s="10" t="inlineStr">
        <is>
          <t>出金｜その他</t>
        </is>
      </c>
      <c r="L9" s="10" t="inlineStr">
        <is>
          <t>出金 計</t>
        </is>
      </c>
      <c r="M9" s="10" t="inlineStr">
        <is>
          <t>差引残高</t>
        </is>
      </c>
      <c r="N9" s="10" t="inlineStr">
        <is>
          <t>判定</t>
        </is>
      </c>
    </row>
    <row r="10">
      <c r="A10" s="11">
        <f>IF(DAY(DATE($B$3,$B$4,1))=1,DATE($B$3,$B$4,1),"")</f>
        <v/>
      </c>
      <c r="B10" s="12">
        <f>IF(A10="","",MID("日月火水木金土",WEEKDAY(A10),1))</f>
        <v/>
      </c>
      <c r="C10" s="4" t="inlineStr">
        <is>
          <t>A社 売掛回収</t>
        </is>
      </c>
      <c r="D10" s="8" t="n">
        <v>800000</v>
      </c>
      <c r="E10" s="8" t="n"/>
      <c r="F10" s="13">
        <f>SUM(D10:E10)</f>
        <v/>
      </c>
      <c r="G10" s="8" t="n"/>
      <c r="H10" s="8" t="n"/>
      <c r="I10" s="8" t="n">
        <v>30000</v>
      </c>
      <c r="J10" s="8" t="n"/>
      <c r="K10" s="8" t="n"/>
      <c r="L10" s="13">
        <f>SUM(G10:K10)</f>
        <v/>
      </c>
      <c r="M10" s="14">
        <f>IF(A10="",$B$5,$B$5+F10-L10)</f>
        <v/>
      </c>
      <c r="N10" s="12">
        <f>IF(A10="","",IF(M10&lt;$B$6,"要注意","OK"))</f>
        <v/>
      </c>
    </row>
    <row r="11">
      <c r="A11" s="11">
        <f>IF(DAY(DATE($B$3,$B$4,2))=2,DATE($B$3,$B$4,2),"")</f>
        <v/>
      </c>
      <c r="B11" s="12">
        <f>IF(A11="","",MID("日月火水木金土",WEEKDAY(A11),1))</f>
        <v/>
      </c>
      <c r="C11" s="4" t="n"/>
      <c r="D11" s="8" t="n"/>
      <c r="E11" s="8" t="n"/>
      <c r="F11" s="13">
        <f>SUM(D11:E11)</f>
        <v/>
      </c>
      <c r="G11" s="8" t="n"/>
      <c r="H11" s="8" t="n"/>
      <c r="I11" s="8" t="n"/>
      <c r="J11" s="8" t="n"/>
      <c r="K11" s="8" t="n"/>
      <c r="L11" s="13">
        <f>SUM(G11:K11)</f>
        <v/>
      </c>
      <c r="M11" s="14">
        <f>IF(A11="",M10,M10+F11-L11)</f>
        <v/>
      </c>
      <c r="N11" s="12">
        <f>IF(A11="","",IF(M11&lt;$B$6,"要注意","OK"))</f>
        <v/>
      </c>
    </row>
    <row r="12">
      <c r="A12" s="11">
        <f>IF(DAY(DATE($B$3,$B$4,3))=3,DATE($B$3,$B$4,3),"")</f>
        <v/>
      </c>
      <c r="B12" s="12">
        <f>IF(A12="","",MID("日月火水木金土",WEEKDAY(A12),1))</f>
        <v/>
      </c>
      <c r="C12" s="4" t="n"/>
      <c r="D12" s="8" t="n"/>
      <c r="E12" s="8" t="n"/>
      <c r="F12" s="13">
        <f>SUM(D12:E12)</f>
        <v/>
      </c>
      <c r="G12" s="8" t="n"/>
      <c r="H12" s="8" t="n"/>
      <c r="I12" s="8" t="n"/>
      <c r="J12" s="8" t="n"/>
      <c r="K12" s="8" t="n"/>
      <c r="L12" s="13">
        <f>SUM(G12:K12)</f>
        <v/>
      </c>
      <c r="M12" s="14">
        <f>IF(A12="",M11,M11+F12-L12)</f>
        <v/>
      </c>
      <c r="N12" s="12">
        <f>IF(A12="","",IF(M12&lt;$B$6,"要注意","OK"))</f>
        <v/>
      </c>
    </row>
    <row r="13">
      <c r="A13" s="11">
        <f>IF(DAY(DATE($B$3,$B$4,4))=4,DATE($B$3,$B$4,4),"")</f>
        <v/>
      </c>
      <c r="B13" s="12">
        <f>IF(A13="","",MID("日月火水木金土",WEEKDAY(A13),1))</f>
        <v/>
      </c>
      <c r="C13" s="4" t="n"/>
      <c r="D13" s="8" t="n"/>
      <c r="E13" s="8" t="n"/>
      <c r="F13" s="13">
        <f>SUM(D13:E13)</f>
        <v/>
      </c>
      <c r="G13" s="8" t="n"/>
      <c r="H13" s="8" t="n"/>
      <c r="I13" s="8" t="n"/>
      <c r="J13" s="8" t="n"/>
      <c r="K13" s="8" t="n"/>
      <c r="L13" s="13">
        <f>SUM(G13:K13)</f>
        <v/>
      </c>
      <c r="M13" s="14">
        <f>IF(A13="",M12,M12+F13-L13)</f>
        <v/>
      </c>
      <c r="N13" s="12">
        <f>IF(A13="","",IF(M13&lt;$B$6,"要注意","OK"))</f>
        <v/>
      </c>
    </row>
    <row r="14">
      <c r="A14" s="11">
        <f>IF(DAY(DATE($B$3,$B$4,5))=5,DATE($B$3,$B$4,5),"")</f>
        <v/>
      </c>
      <c r="B14" s="12">
        <f>IF(A14="","",MID("日月火水木金土",WEEKDAY(A14),1))</f>
        <v/>
      </c>
      <c r="C14" s="4" t="n"/>
      <c r="D14" s="8" t="n"/>
      <c r="E14" s="8" t="n"/>
      <c r="F14" s="13">
        <f>SUM(D14:E14)</f>
        <v/>
      </c>
      <c r="G14" s="8" t="n"/>
      <c r="H14" s="8" t="n"/>
      <c r="I14" s="8" t="n"/>
      <c r="J14" s="8" t="n"/>
      <c r="K14" s="8" t="n"/>
      <c r="L14" s="13">
        <f>SUM(G14:K14)</f>
        <v/>
      </c>
      <c r="M14" s="14">
        <f>IF(A14="",M13,M13+F14-L14)</f>
        <v/>
      </c>
      <c r="N14" s="12">
        <f>IF(A14="","",IF(M14&lt;$B$6,"要注意","OK"))</f>
        <v/>
      </c>
    </row>
    <row r="15">
      <c r="A15" s="11">
        <f>IF(DAY(DATE($B$3,$B$4,6))=6,DATE($B$3,$B$4,6),"")</f>
        <v/>
      </c>
      <c r="B15" s="12">
        <f>IF(A15="","",MID("日月火水木金土",WEEKDAY(A15),1))</f>
        <v/>
      </c>
      <c r="C15" s="4" t="n"/>
      <c r="D15" s="8" t="n"/>
      <c r="E15" s="8" t="n"/>
      <c r="F15" s="13">
        <f>SUM(D15:E15)</f>
        <v/>
      </c>
      <c r="G15" s="8" t="n"/>
      <c r="H15" s="8" t="n"/>
      <c r="I15" s="8" t="n"/>
      <c r="J15" s="8" t="n"/>
      <c r="K15" s="8" t="n"/>
      <c r="L15" s="13">
        <f>SUM(G15:K15)</f>
        <v/>
      </c>
      <c r="M15" s="14">
        <f>IF(A15="",M14,M14+F15-L15)</f>
        <v/>
      </c>
      <c r="N15" s="12">
        <f>IF(A15="","",IF(M15&lt;$B$6,"要注意","OK"))</f>
        <v/>
      </c>
    </row>
    <row r="16">
      <c r="A16" s="11">
        <f>IF(DAY(DATE($B$3,$B$4,7))=7,DATE($B$3,$B$4,7),"")</f>
        <v/>
      </c>
      <c r="B16" s="12">
        <f>IF(A16="","",MID("日月火水木金土",WEEKDAY(A16),1))</f>
        <v/>
      </c>
      <c r="C16" s="4" t="n"/>
      <c r="D16" s="8" t="n"/>
      <c r="E16" s="8" t="n"/>
      <c r="F16" s="13">
        <f>SUM(D16:E16)</f>
        <v/>
      </c>
      <c r="G16" s="8" t="n"/>
      <c r="H16" s="8" t="n"/>
      <c r="I16" s="8" t="n"/>
      <c r="J16" s="8" t="n"/>
      <c r="K16" s="8" t="n"/>
      <c r="L16" s="13">
        <f>SUM(G16:K16)</f>
        <v/>
      </c>
      <c r="M16" s="14">
        <f>IF(A16="",M15,M15+F16-L16)</f>
        <v/>
      </c>
      <c r="N16" s="12">
        <f>IF(A16="","",IF(M16&lt;$B$6,"要注意","OK"))</f>
        <v/>
      </c>
    </row>
    <row r="17">
      <c r="A17" s="11">
        <f>IF(DAY(DATE($B$3,$B$4,8))=8,DATE($B$3,$B$4,8),"")</f>
        <v/>
      </c>
      <c r="B17" s="12">
        <f>IF(A17="","",MID("日月火水木金土",WEEKDAY(A17),1))</f>
        <v/>
      </c>
      <c r="C17" s="4" t="n"/>
      <c r="D17" s="8" t="n"/>
      <c r="E17" s="8" t="n"/>
      <c r="F17" s="13">
        <f>SUM(D17:E17)</f>
        <v/>
      </c>
      <c r="G17" s="8" t="n"/>
      <c r="H17" s="8" t="n"/>
      <c r="I17" s="8" t="n"/>
      <c r="J17" s="8" t="n"/>
      <c r="K17" s="8" t="n"/>
      <c r="L17" s="13">
        <f>SUM(G17:K17)</f>
        <v/>
      </c>
      <c r="M17" s="14">
        <f>IF(A17="",M16,M16+F17-L17)</f>
        <v/>
      </c>
      <c r="N17" s="12">
        <f>IF(A17="","",IF(M17&lt;$B$6,"要注意","OK"))</f>
        <v/>
      </c>
    </row>
    <row r="18">
      <c r="A18" s="11">
        <f>IF(DAY(DATE($B$3,$B$4,9))=9,DATE($B$3,$B$4,9),"")</f>
        <v/>
      </c>
      <c r="B18" s="12">
        <f>IF(A18="","",MID("日月火水木金土",WEEKDAY(A18),1))</f>
        <v/>
      </c>
      <c r="C18" s="4" t="n"/>
      <c r="D18" s="8" t="n"/>
      <c r="E18" s="8" t="n"/>
      <c r="F18" s="13">
        <f>SUM(D18:E18)</f>
        <v/>
      </c>
      <c r="G18" s="8" t="n"/>
      <c r="H18" s="8" t="n"/>
      <c r="I18" s="8" t="n"/>
      <c r="J18" s="8" t="n"/>
      <c r="K18" s="8" t="n"/>
      <c r="L18" s="13">
        <f>SUM(G18:K18)</f>
        <v/>
      </c>
      <c r="M18" s="14">
        <f>IF(A18="",M17,M17+F18-L18)</f>
        <v/>
      </c>
      <c r="N18" s="12">
        <f>IF(A18="","",IF(M18&lt;$B$6,"要注意","OK"))</f>
        <v/>
      </c>
    </row>
    <row r="19">
      <c r="A19" s="11">
        <f>IF(DAY(DATE($B$3,$B$4,10))=10,DATE($B$3,$B$4,10),"")</f>
        <v/>
      </c>
      <c r="B19" s="12">
        <f>IF(A19="","",MID("日月火水木金土",WEEKDAY(A19),1))</f>
        <v/>
      </c>
      <c r="C19" s="4" t="inlineStr">
        <is>
          <t>仕入先B 買掛支払</t>
        </is>
      </c>
      <c r="D19" s="8" t="n"/>
      <c r="E19" s="8" t="n"/>
      <c r="F19" s="13">
        <f>SUM(D19:E19)</f>
        <v/>
      </c>
      <c r="G19" s="8" t="n">
        <v>600000</v>
      </c>
      <c r="H19" s="8" t="n"/>
      <c r="I19" s="8" t="n"/>
      <c r="J19" s="8" t="n"/>
      <c r="K19" s="8" t="n"/>
      <c r="L19" s="13">
        <f>SUM(G19:K19)</f>
        <v/>
      </c>
      <c r="M19" s="14">
        <f>IF(A19="",M18,M18+F19-L19)</f>
        <v/>
      </c>
      <c r="N19" s="12">
        <f>IF(A19="","",IF(M19&lt;$B$6,"要注意","OK"))</f>
        <v/>
      </c>
    </row>
    <row r="20">
      <c r="A20" s="11">
        <f>IF(DAY(DATE($B$3,$B$4,11))=11,DATE($B$3,$B$4,11),"")</f>
        <v/>
      </c>
      <c r="B20" s="12">
        <f>IF(A20="","",MID("日月火水木金土",WEEKDAY(A20),1))</f>
        <v/>
      </c>
      <c r="C20" s="4" t="n"/>
      <c r="D20" s="8" t="n"/>
      <c r="E20" s="8" t="n"/>
      <c r="F20" s="13">
        <f>SUM(D20:E20)</f>
        <v/>
      </c>
      <c r="G20" s="8" t="n"/>
      <c r="H20" s="8" t="n"/>
      <c r="I20" s="8" t="n"/>
      <c r="J20" s="8" t="n"/>
      <c r="K20" s="8" t="n"/>
      <c r="L20" s="13">
        <f>SUM(G20:K20)</f>
        <v/>
      </c>
      <c r="M20" s="14">
        <f>IF(A20="",M19,M19+F20-L20)</f>
        <v/>
      </c>
      <c r="N20" s="12">
        <f>IF(A20="","",IF(M20&lt;$B$6,"要注意","OK"))</f>
        <v/>
      </c>
    </row>
    <row r="21">
      <c r="A21" s="11">
        <f>IF(DAY(DATE($B$3,$B$4,12))=12,DATE($B$3,$B$4,12),"")</f>
        <v/>
      </c>
      <c r="B21" s="12">
        <f>IF(A21="","",MID("日月火水木金土",WEEKDAY(A21),1))</f>
        <v/>
      </c>
      <c r="C21" s="4" t="n"/>
      <c r="D21" s="8" t="n"/>
      <c r="E21" s="8" t="n"/>
      <c r="F21" s="13">
        <f>SUM(D21:E21)</f>
        <v/>
      </c>
      <c r="G21" s="8" t="n"/>
      <c r="H21" s="8" t="n"/>
      <c r="I21" s="8" t="n"/>
      <c r="J21" s="8" t="n"/>
      <c r="K21" s="8" t="n"/>
      <c r="L21" s="13">
        <f>SUM(G21:K21)</f>
        <v/>
      </c>
      <c r="M21" s="14">
        <f>IF(A21="",M20,M20+F21-L21)</f>
        <v/>
      </c>
      <c r="N21" s="12">
        <f>IF(A21="","",IF(M21&lt;$B$6,"要注意","OK"))</f>
        <v/>
      </c>
    </row>
    <row r="22">
      <c r="A22" s="11">
        <f>IF(DAY(DATE($B$3,$B$4,13))=13,DATE($B$3,$B$4,13),"")</f>
        <v/>
      </c>
      <c r="B22" s="12">
        <f>IF(A22="","",MID("日月火水木金土",WEEKDAY(A22),1))</f>
        <v/>
      </c>
      <c r="C22" s="4" t="n"/>
      <c r="D22" s="8" t="n"/>
      <c r="E22" s="8" t="n"/>
      <c r="F22" s="13">
        <f>SUM(D22:E22)</f>
        <v/>
      </c>
      <c r="G22" s="8" t="n"/>
      <c r="H22" s="8" t="n"/>
      <c r="I22" s="8" t="n"/>
      <c r="J22" s="8" t="n"/>
      <c r="K22" s="8" t="n"/>
      <c r="L22" s="13">
        <f>SUM(G22:K22)</f>
        <v/>
      </c>
      <c r="M22" s="14">
        <f>IF(A22="",M21,M21+F22-L22)</f>
        <v/>
      </c>
      <c r="N22" s="12">
        <f>IF(A22="","",IF(M22&lt;$B$6,"要注意","OK"))</f>
        <v/>
      </c>
    </row>
    <row r="23">
      <c r="A23" s="11">
        <f>IF(DAY(DATE($B$3,$B$4,14))=14,DATE($B$3,$B$4,14),"")</f>
        <v/>
      </c>
      <c r="B23" s="12">
        <f>IF(A23="","",MID("日月火水木金土",WEEKDAY(A23),1))</f>
        <v/>
      </c>
      <c r="C23" s="4" t="n"/>
      <c r="D23" s="8" t="n"/>
      <c r="E23" s="8" t="n"/>
      <c r="F23" s="13">
        <f>SUM(D23:E23)</f>
        <v/>
      </c>
      <c r="G23" s="8" t="n"/>
      <c r="H23" s="8" t="n"/>
      <c r="I23" s="8" t="n"/>
      <c r="J23" s="8" t="n"/>
      <c r="K23" s="8" t="n"/>
      <c r="L23" s="13">
        <f>SUM(G23:K23)</f>
        <v/>
      </c>
      <c r="M23" s="14">
        <f>IF(A23="",M22,M22+F23-L23)</f>
        <v/>
      </c>
      <c r="N23" s="12">
        <f>IF(A23="","",IF(M23&lt;$B$6,"要注意","OK"))</f>
        <v/>
      </c>
    </row>
    <row r="24">
      <c r="A24" s="11">
        <f>IF(DAY(DATE($B$3,$B$4,15))=15,DATE($B$3,$B$4,15),"")</f>
        <v/>
      </c>
      <c r="B24" s="12">
        <f>IF(A24="","",MID("日月火水木金土",WEEKDAY(A24),1))</f>
        <v/>
      </c>
      <c r="C24" s="4" t="n"/>
      <c r="D24" s="8" t="n"/>
      <c r="E24" s="8" t="n"/>
      <c r="F24" s="13">
        <f>SUM(D24:E24)</f>
        <v/>
      </c>
      <c r="G24" s="8" t="n"/>
      <c r="H24" s="8" t="n"/>
      <c r="I24" s="8" t="n"/>
      <c r="J24" s="8" t="n"/>
      <c r="K24" s="8" t="n"/>
      <c r="L24" s="13">
        <f>SUM(G24:K24)</f>
        <v/>
      </c>
      <c r="M24" s="14">
        <f>IF(A24="",M23,M23+F24-L24)</f>
        <v/>
      </c>
      <c r="N24" s="12">
        <f>IF(A24="","",IF(M24&lt;$B$6,"要注意","OK"))</f>
        <v/>
      </c>
    </row>
    <row r="25">
      <c r="A25" s="11">
        <f>IF(DAY(DATE($B$3,$B$4,16))=16,DATE($B$3,$B$4,16),"")</f>
        <v/>
      </c>
      <c r="B25" s="12">
        <f>IF(A25="","",MID("日月火水木金土",WEEKDAY(A25),1))</f>
        <v/>
      </c>
      <c r="C25" s="4" t="n"/>
      <c r="D25" s="8" t="n"/>
      <c r="E25" s="8" t="n"/>
      <c r="F25" s="13">
        <f>SUM(D25:E25)</f>
        <v/>
      </c>
      <c r="G25" s="8" t="n"/>
      <c r="H25" s="8" t="n"/>
      <c r="I25" s="8" t="n"/>
      <c r="J25" s="8" t="n"/>
      <c r="K25" s="8" t="n"/>
      <c r="L25" s="13">
        <f>SUM(G25:K25)</f>
        <v/>
      </c>
      <c r="M25" s="14">
        <f>IF(A25="",M24,M24+F25-L25)</f>
        <v/>
      </c>
      <c r="N25" s="12">
        <f>IF(A25="","",IF(M25&lt;$B$6,"要注意","OK"))</f>
        <v/>
      </c>
    </row>
    <row r="26">
      <c r="A26" s="11">
        <f>IF(DAY(DATE($B$3,$B$4,17))=17,DATE($B$3,$B$4,17),"")</f>
        <v/>
      </c>
      <c r="B26" s="12">
        <f>IF(A26="","",MID("日月火水木金土",WEEKDAY(A26),1))</f>
        <v/>
      </c>
      <c r="C26" s="4" t="n"/>
      <c r="D26" s="8" t="n"/>
      <c r="E26" s="8" t="n"/>
      <c r="F26" s="13">
        <f>SUM(D26:E26)</f>
        <v/>
      </c>
      <c r="G26" s="8" t="n"/>
      <c r="H26" s="8" t="n"/>
      <c r="I26" s="8" t="n"/>
      <c r="J26" s="8" t="n"/>
      <c r="K26" s="8" t="n"/>
      <c r="L26" s="13">
        <f>SUM(G26:K26)</f>
        <v/>
      </c>
      <c r="M26" s="14">
        <f>IF(A26="",M25,M25+F26-L26)</f>
        <v/>
      </c>
      <c r="N26" s="12">
        <f>IF(A26="","",IF(M26&lt;$B$6,"要注意","OK"))</f>
        <v/>
      </c>
    </row>
    <row r="27">
      <c r="A27" s="11">
        <f>IF(DAY(DATE($B$3,$B$4,18))=18,DATE($B$3,$B$4,18),"")</f>
        <v/>
      </c>
      <c r="B27" s="12">
        <f>IF(A27="","",MID("日月火水木金土",WEEKDAY(A27),1))</f>
        <v/>
      </c>
      <c r="C27" s="4" t="n"/>
      <c r="D27" s="8" t="n"/>
      <c r="E27" s="8" t="n"/>
      <c r="F27" s="13">
        <f>SUM(D27:E27)</f>
        <v/>
      </c>
      <c r="G27" s="8" t="n"/>
      <c r="H27" s="8" t="n"/>
      <c r="I27" s="8" t="n"/>
      <c r="J27" s="8" t="n"/>
      <c r="K27" s="8" t="n"/>
      <c r="L27" s="13">
        <f>SUM(G27:K27)</f>
        <v/>
      </c>
      <c r="M27" s="14">
        <f>IF(A27="",M26,M26+F27-L27)</f>
        <v/>
      </c>
      <c r="N27" s="12">
        <f>IF(A27="","",IF(M27&lt;$B$6,"要注意","OK"))</f>
        <v/>
      </c>
    </row>
    <row r="28">
      <c r="A28" s="11">
        <f>IF(DAY(DATE($B$3,$B$4,19))=19,DATE($B$3,$B$4,19),"")</f>
        <v/>
      </c>
      <c r="B28" s="12">
        <f>IF(A28="","",MID("日月火水木金土",WEEKDAY(A28),1))</f>
        <v/>
      </c>
      <c r="C28" s="4" t="n"/>
      <c r="D28" s="8" t="n"/>
      <c r="E28" s="8" t="n"/>
      <c r="F28" s="13">
        <f>SUM(D28:E28)</f>
        <v/>
      </c>
      <c r="G28" s="8" t="n"/>
      <c r="H28" s="8" t="n"/>
      <c r="I28" s="8" t="n"/>
      <c r="J28" s="8" t="n"/>
      <c r="K28" s="8" t="n"/>
      <c r="L28" s="13">
        <f>SUM(G28:K28)</f>
        <v/>
      </c>
      <c r="M28" s="14">
        <f>IF(A28="",M27,M27+F28-L28)</f>
        <v/>
      </c>
      <c r="N28" s="12">
        <f>IF(A28="","",IF(M28&lt;$B$6,"要注意","OK"))</f>
        <v/>
      </c>
    </row>
    <row r="29">
      <c r="A29" s="11">
        <f>IF(DAY(DATE($B$3,$B$4,20))=20,DATE($B$3,$B$4,20),"")</f>
        <v/>
      </c>
      <c r="B29" s="12">
        <f>IF(A29="","",MID("日月火水木金土",WEEKDAY(A29),1))</f>
        <v/>
      </c>
      <c r="C29" s="4" t="n"/>
      <c r="D29" s="8" t="n"/>
      <c r="E29" s="8" t="n"/>
      <c r="F29" s="13">
        <f>SUM(D29:E29)</f>
        <v/>
      </c>
      <c r="G29" s="8" t="n"/>
      <c r="H29" s="8" t="n"/>
      <c r="I29" s="8" t="n"/>
      <c r="J29" s="8" t="n"/>
      <c r="K29" s="8" t="n"/>
      <c r="L29" s="13">
        <f>SUM(G29:K29)</f>
        <v/>
      </c>
      <c r="M29" s="14">
        <f>IF(A29="",M28,M28+F29-L29)</f>
        <v/>
      </c>
      <c r="N29" s="12">
        <f>IF(A29="","",IF(M29&lt;$B$6,"要注意","OK"))</f>
        <v/>
      </c>
    </row>
    <row r="30">
      <c r="A30" s="11">
        <f>IF(DAY(DATE($B$3,$B$4,21))=21,DATE($B$3,$B$4,21),"")</f>
        <v/>
      </c>
      <c r="B30" s="12">
        <f>IF(A30="","",MID("日月火水木金土",WEEKDAY(A30),1))</f>
        <v/>
      </c>
      <c r="C30" s="4" t="n"/>
      <c r="D30" s="8" t="n"/>
      <c r="E30" s="8" t="n"/>
      <c r="F30" s="13">
        <f>SUM(D30:E30)</f>
        <v/>
      </c>
      <c r="G30" s="8" t="n"/>
      <c r="H30" s="8" t="n"/>
      <c r="I30" s="8" t="n"/>
      <c r="J30" s="8" t="n"/>
      <c r="K30" s="8" t="n"/>
      <c r="L30" s="13">
        <f>SUM(G30:K30)</f>
        <v/>
      </c>
      <c r="M30" s="14">
        <f>IF(A30="",M29,M29+F30-L30)</f>
        <v/>
      </c>
      <c r="N30" s="12">
        <f>IF(A30="","",IF(M30&lt;$B$6,"要注意","OK"))</f>
        <v/>
      </c>
    </row>
    <row r="31">
      <c r="A31" s="11">
        <f>IF(DAY(DATE($B$3,$B$4,22))=22,DATE($B$3,$B$4,22),"")</f>
        <v/>
      </c>
      <c r="B31" s="12">
        <f>IF(A31="","",MID("日月火水木金土",WEEKDAY(A31),1))</f>
        <v/>
      </c>
      <c r="C31" s="4" t="n"/>
      <c r="D31" s="8" t="n"/>
      <c r="E31" s="8" t="n"/>
      <c r="F31" s="13">
        <f>SUM(D31:E31)</f>
        <v/>
      </c>
      <c r="G31" s="8" t="n"/>
      <c r="H31" s="8" t="n"/>
      <c r="I31" s="8" t="n"/>
      <c r="J31" s="8" t="n"/>
      <c r="K31" s="8" t="n"/>
      <c r="L31" s="13">
        <f>SUM(G31:K31)</f>
        <v/>
      </c>
      <c r="M31" s="14">
        <f>IF(A31="",M30,M30+F31-L31)</f>
        <v/>
      </c>
      <c r="N31" s="12">
        <f>IF(A31="","",IF(M31&lt;$B$6,"要注意","OK"))</f>
        <v/>
      </c>
    </row>
    <row r="32">
      <c r="A32" s="11">
        <f>IF(DAY(DATE($B$3,$B$4,23))=23,DATE($B$3,$B$4,23),"")</f>
        <v/>
      </c>
      <c r="B32" s="12">
        <f>IF(A32="","",MID("日月火水木金土",WEEKDAY(A32),1))</f>
        <v/>
      </c>
      <c r="C32" s="4" t="n"/>
      <c r="D32" s="8" t="n"/>
      <c r="E32" s="8" t="n"/>
      <c r="F32" s="13">
        <f>SUM(D32:E32)</f>
        <v/>
      </c>
      <c r="G32" s="8" t="n"/>
      <c r="H32" s="8" t="n"/>
      <c r="I32" s="8" t="n"/>
      <c r="J32" s="8" t="n"/>
      <c r="K32" s="8" t="n"/>
      <c r="L32" s="13">
        <f>SUM(G32:K32)</f>
        <v/>
      </c>
      <c r="M32" s="14">
        <f>IF(A32="",M31,M31+F32-L32)</f>
        <v/>
      </c>
      <c r="N32" s="12">
        <f>IF(A32="","",IF(M32&lt;$B$6,"要注意","OK"))</f>
        <v/>
      </c>
    </row>
    <row r="33">
      <c r="A33" s="11">
        <f>IF(DAY(DATE($B$3,$B$4,24))=24,DATE($B$3,$B$4,24),"")</f>
        <v/>
      </c>
      <c r="B33" s="12">
        <f>IF(A33="","",MID("日月火水木金土",WEEKDAY(A33),1))</f>
        <v/>
      </c>
      <c r="C33" s="4" t="n"/>
      <c r="D33" s="8" t="n"/>
      <c r="E33" s="8" t="n"/>
      <c r="F33" s="13">
        <f>SUM(D33:E33)</f>
        <v/>
      </c>
      <c r="G33" s="8" t="n"/>
      <c r="H33" s="8" t="n"/>
      <c r="I33" s="8" t="n"/>
      <c r="J33" s="8" t="n"/>
      <c r="K33" s="8" t="n"/>
      <c r="L33" s="13">
        <f>SUM(G33:K33)</f>
        <v/>
      </c>
      <c r="M33" s="14">
        <f>IF(A33="",M32,M32+F33-L33)</f>
        <v/>
      </c>
      <c r="N33" s="12">
        <f>IF(A33="","",IF(M33&lt;$B$6,"要注意","OK"))</f>
        <v/>
      </c>
    </row>
    <row r="34">
      <c r="A34" s="11">
        <f>IF(DAY(DATE($B$3,$B$4,25))=25,DATE($B$3,$B$4,25),"")</f>
        <v/>
      </c>
      <c r="B34" s="12">
        <f>IF(A34="","",MID("日月火水木金土",WEEKDAY(A34),1))</f>
        <v/>
      </c>
      <c r="C34" s="4" t="inlineStr">
        <is>
          <t>給与支払</t>
        </is>
      </c>
      <c r="D34" s="8" t="n"/>
      <c r="E34" s="8" t="n"/>
      <c r="F34" s="13">
        <f>SUM(D34:E34)</f>
        <v/>
      </c>
      <c r="G34" s="8" t="n"/>
      <c r="H34" s="8" t="n">
        <v>900000</v>
      </c>
      <c r="I34" s="8" t="n"/>
      <c r="J34" s="8" t="n"/>
      <c r="K34" s="8" t="n"/>
      <c r="L34" s="13">
        <f>SUM(G34:K34)</f>
        <v/>
      </c>
      <c r="M34" s="14">
        <f>IF(A34="",M33,M33+F34-L34)</f>
        <v/>
      </c>
      <c r="N34" s="12">
        <f>IF(A34="","",IF(M34&lt;$B$6,"要注意","OK"))</f>
        <v/>
      </c>
    </row>
    <row r="35">
      <c r="A35" s="11">
        <f>IF(DAY(DATE($B$3,$B$4,26))=26,DATE($B$3,$B$4,26),"")</f>
        <v/>
      </c>
      <c r="B35" s="12">
        <f>IF(A35="","",MID("日月火水木金土",WEEKDAY(A35),1))</f>
        <v/>
      </c>
      <c r="C35" s="4" t="n"/>
      <c r="D35" s="8" t="n"/>
      <c r="E35" s="8" t="n"/>
      <c r="F35" s="13">
        <f>SUM(D35:E35)</f>
        <v/>
      </c>
      <c r="G35" s="8" t="n"/>
      <c r="H35" s="8" t="n"/>
      <c r="I35" s="8" t="n"/>
      <c r="J35" s="8" t="n"/>
      <c r="K35" s="8" t="n"/>
      <c r="L35" s="13">
        <f>SUM(G35:K35)</f>
        <v/>
      </c>
      <c r="M35" s="14">
        <f>IF(A35="",M34,M34+F35-L35)</f>
        <v/>
      </c>
      <c r="N35" s="12">
        <f>IF(A35="","",IF(M35&lt;$B$6,"要注意","OK"))</f>
        <v/>
      </c>
    </row>
    <row r="36">
      <c r="A36" s="11">
        <f>IF(DAY(DATE($B$3,$B$4,27))=27,DATE($B$3,$B$4,27),"")</f>
        <v/>
      </c>
      <c r="B36" s="12">
        <f>IF(A36="","",MID("日月火水木金土",WEEKDAY(A36),1))</f>
        <v/>
      </c>
      <c r="C36" s="4" t="n"/>
      <c r="D36" s="8" t="n"/>
      <c r="E36" s="8" t="n"/>
      <c r="F36" s="13">
        <f>SUM(D36:E36)</f>
        <v/>
      </c>
      <c r="G36" s="8" t="n"/>
      <c r="H36" s="8" t="n"/>
      <c r="I36" s="8" t="n"/>
      <c r="J36" s="8" t="n"/>
      <c r="K36" s="8" t="n"/>
      <c r="L36" s="13">
        <f>SUM(G36:K36)</f>
        <v/>
      </c>
      <c r="M36" s="14">
        <f>IF(A36="",M35,M35+F36-L36)</f>
        <v/>
      </c>
      <c r="N36" s="12">
        <f>IF(A36="","",IF(M36&lt;$B$6,"要注意","OK"))</f>
        <v/>
      </c>
    </row>
    <row r="37">
      <c r="A37" s="11">
        <f>IF(DAY(DATE($B$3,$B$4,28))=28,DATE($B$3,$B$4,28),"")</f>
        <v/>
      </c>
      <c r="B37" s="12">
        <f>IF(A37="","",MID("日月火水木金土",WEEKDAY(A37),1))</f>
        <v/>
      </c>
      <c r="C37" s="4" t="n"/>
      <c r="D37" s="8" t="n"/>
      <c r="E37" s="8" t="n"/>
      <c r="F37" s="13">
        <f>SUM(D37:E37)</f>
        <v/>
      </c>
      <c r="G37" s="8" t="n"/>
      <c r="H37" s="8" t="n"/>
      <c r="I37" s="8" t="n"/>
      <c r="J37" s="8" t="n"/>
      <c r="K37" s="8" t="n"/>
      <c r="L37" s="13">
        <f>SUM(G37:K37)</f>
        <v/>
      </c>
      <c r="M37" s="14">
        <f>IF(A37="",M36,M36+F37-L37)</f>
        <v/>
      </c>
      <c r="N37" s="12">
        <f>IF(A37="","",IF(M37&lt;$B$6,"要注意","OK"))</f>
        <v/>
      </c>
    </row>
    <row r="38">
      <c r="A38" s="11">
        <f>IF(DAY(DATE($B$3,$B$4,29))=29,DATE($B$3,$B$4,29),"")</f>
        <v/>
      </c>
      <c r="B38" s="12">
        <f>IF(A38="","",MID("日月火水木金土",WEEKDAY(A38),1))</f>
        <v/>
      </c>
      <c r="C38" s="4" t="n"/>
      <c r="D38" s="8" t="n"/>
      <c r="E38" s="8" t="n"/>
      <c r="F38" s="13">
        <f>SUM(D38:E38)</f>
        <v/>
      </c>
      <c r="G38" s="8" t="n"/>
      <c r="H38" s="8" t="n"/>
      <c r="I38" s="8" t="n"/>
      <c r="J38" s="8" t="n"/>
      <c r="K38" s="8" t="n"/>
      <c r="L38" s="13">
        <f>SUM(G38:K38)</f>
        <v/>
      </c>
      <c r="M38" s="14">
        <f>IF(A38="",M37,M37+F38-L38)</f>
        <v/>
      </c>
      <c r="N38" s="12">
        <f>IF(A38="","",IF(M38&lt;$B$6,"要注意","OK"))</f>
        <v/>
      </c>
    </row>
    <row r="39">
      <c r="A39" s="11">
        <f>IF(DAY(DATE($B$3,$B$4,30))=30,DATE($B$3,$B$4,30),"")</f>
        <v/>
      </c>
      <c r="B39" s="12">
        <f>IF(A39="","",MID("日月火水木金土",WEEKDAY(A39),1))</f>
        <v/>
      </c>
      <c r="C39" s="4" t="n"/>
      <c r="D39" s="8" t="n"/>
      <c r="E39" s="8" t="n"/>
      <c r="F39" s="13">
        <f>SUM(D39:E39)</f>
        <v/>
      </c>
      <c r="G39" s="8" t="n"/>
      <c r="H39" s="8" t="n"/>
      <c r="I39" s="8" t="n"/>
      <c r="J39" s="8" t="n"/>
      <c r="K39" s="8" t="n"/>
      <c r="L39" s="13">
        <f>SUM(G39:K39)</f>
        <v/>
      </c>
      <c r="M39" s="14">
        <f>IF(A39="",M38,M38+F39-L39)</f>
        <v/>
      </c>
      <c r="N39" s="12">
        <f>IF(A39="","",IF(M39&lt;$B$6,"要注意","OK"))</f>
        <v/>
      </c>
    </row>
    <row r="40">
      <c r="A40" s="11">
        <f>IF(DAY(DATE($B$3,$B$4,31))=31,DATE($B$3,$B$4,31),"")</f>
        <v/>
      </c>
      <c r="B40" s="12">
        <f>IF(A40="","",MID("日月火水木金土",WEEKDAY(A40),1))</f>
        <v/>
      </c>
      <c r="C40" s="4" t="inlineStr">
        <is>
          <t>借入返済（C銀行）</t>
        </is>
      </c>
      <c r="D40" s="8" t="n"/>
      <c r="E40" s="8" t="n"/>
      <c r="F40" s="13">
        <f>SUM(D40:E40)</f>
        <v/>
      </c>
      <c r="G40" s="8" t="n"/>
      <c r="H40" s="8" t="n"/>
      <c r="I40" s="8" t="n"/>
      <c r="J40" s="8" t="n">
        <v>165000</v>
      </c>
      <c r="K40" s="8" t="n"/>
      <c r="L40" s="13">
        <f>SUM(G40:K40)</f>
        <v/>
      </c>
      <c r="M40" s="14">
        <f>IF(A40="",M39,M39+F40-L40)</f>
        <v/>
      </c>
      <c r="N40" s="12">
        <f>IF(A40="","",IF(M40&lt;$B$6,"要注意","OK"))</f>
        <v/>
      </c>
    </row>
    <row r="41">
      <c r="A41" s="15" t="inlineStr">
        <is>
          <t>月 合計</t>
        </is>
      </c>
      <c r="B41" s="16" t="n"/>
      <c r="C41" s="16" t="n"/>
      <c r="D41" s="14">
        <f>SUM(D10:D40)</f>
        <v/>
      </c>
      <c r="E41" s="14">
        <f>SUM(E10:E40)</f>
        <v/>
      </c>
      <c r="F41" s="14">
        <f>SUM(F10:F40)</f>
        <v/>
      </c>
      <c r="G41" s="14">
        <f>SUM(G10:G40)</f>
        <v/>
      </c>
      <c r="H41" s="14">
        <f>SUM(H10:H40)</f>
        <v/>
      </c>
      <c r="I41" s="14">
        <f>SUM(I10:I40)</f>
        <v/>
      </c>
      <c r="J41" s="14">
        <f>SUM(J10:J40)</f>
        <v/>
      </c>
      <c r="K41" s="14">
        <f>SUM(K10:K40)</f>
        <v/>
      </c>
      <c r="L41" s="14">
        <f>SUM(L10:L40)</f>
        <v/>
      </c>
      <c r="M41" s="14">
        <f>M40</f>
        <v/>
      </c>
      <c r="N41" s="17" t="n"/>
    </row>
    <row r="42">
      <c r="A42" s="7" t="inlineStr">
        <is>
          <t>月中の最低残高</t>
        </is>
      </c>
      <c r="M42" s="14">
        <f>MIN(M10:M40)</f>
        <v/>
      </c>
    </row>
    <row r="44">
      <c r="A44" s="9" t="inlineStr">
        <is>
          <t>※1日・10日・25日・31日の行は記入例です。実際の数値に置き換えてください。</t>
        </is>
      </c>
    </row>
  </sheetData>
  <conditionalFormatting sqref="M10:N40">
    <cfRule type="expression" priority="1" dxfId="0">
      <formula>AND($A10&lt;&gt;"",$M10&lt;$B$6)</formula>
    </cfRule>
  </conditionalFormatting>
  <conditionalFormatting sqref="A10:B40">
    <cfRule type="expression" priority="2" dxfId="1">
      <formula>$B10="日"</formula>
    </cfRule>
    <cfRule type="expression" priority="3" dxfId="2">
      <formula>$B10="土"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2026-10-05T07:45:10Z</dcterms:created>
  <dcterms:modified xsi:type="dcterms:W3CDTF">2026-10-05T07:45:10Z</dcterms:modified>
</cp:coreProperties>
</file>